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Y" sheetId="1" r:id="rId5"/>
    <sheet state="visible" name="Leyenda" sheetId="2" r:id="rId6"/>
    <sheet state="visible" name="Buscar pareja" sheetId="3" r:id="rId7"/>
    <sheet state="visible" name="Condiciones (tabla 2)" sheetId="4" r:id="rId8"/>
    <sheet state="visible" name="Concentraciones (tabla 1)"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17">
      <text>
        <t xml:space="preserve">Compatible solo si ambos van diluidos en glucosado 5%.</t>
      </text>
    </comment>
    <comment authorId="0" ref="AP17">
      <text>
        <t xml:space="preserve">Compatible solo si Fentanilo ≤ 12,5 mcg/ml y Remifentanilo ≤ 0,25 mg/ml (tabla 2).</t>
      </text>
    </comment>
    <comment authorId="0" ref="C35">
      <text>
        <t xml:space="preserve">Compatible solo si ambos van diluidos en glucosado 5%.</t>
      </text>
    </comment>
    <comment authorId="0" ref="C2">
      <text>
        <t xml:space="preserve">Compatible solo si ambos van diluidos en glucosado 5%.</t>
      </text>
    </comment>
    <comment authorId="0" ref="J2">
      <text>
        <t xml:space="preserve">Compatible solo si ambos van diluidos en suero fisiológico 0,9%.</t>
      </text>
    </comment>
    <comment authorId="0" ref="AS34">
      <text>
        <t xml:space="preserve">Compatible solo si Naloxona ≤ 0,8 mcg/ml y Verapamilo ≤ 0,08 mg/ml (tabla 2).</t>
      </text>
    </comment>
    <comment authorId="0" ref="C19">
      <text>
        <t xml:space="preserve">Compatible solo si Amiodarona ≤ 6 mg/ml y Furosemida ≤ 1 mg/ml (tabla 2). Además, solo en glucosado 5%.</t>
      </text>
    </comment>
    <comment authorId="0" ref="B36">
      <text>
        <t xml:space="preserve">Compatible solo si ambos van diluidos en glucosado 5%.</t>
      </text>
    </comment>
    <comment authorId="0" ref="B3">
      <text>
        <t xml:space="preserve">Compatible solo si ambos van diluidos en glucosado 5%.</t>
      </text>
    </comment>
    <comment authorId="0" ref="C36">
      <text>
        <t xml:space="preserve">Compatible solo si Amiodarona ≤ 15 mg/ml y Nitroprusiato ≤ 0,3 mg/ml (tabla 2). Además, solo en glucosado 5%.</t>
      </text>
    </comment>
    <comment authorId="0" ref="D36">
      <text>
        <t xml:space="preserve">Compatible solo si ambos van diluidos en glucosado 5%.</t>
      </text>
    </comment>
    <comment authorId="0" ref="AJ35">
      <text>
        <t xml:space="preserve">Compatible solo si ambos van diluidos en glucosado 5%.</t>
      </text>
    </comment>
    <comment authorId="0" ref="AJ2">
      <text>
        <t xml:space="preserve">Compatible solo si ambos van diluidos en glucosado 5%.</t>
      </text>
    </comment>
    <comment authorId="0" ref="AK35">
      <text>
        <t xml:space="preserve">Compatible solo si ambos van diluidos en glucosado 5%.</t>
      </text>
    </comment>
    <comment authorId="0" ref="F36">
      <text>
        <t xml:space="preserve">Compatible solo si ambos van diluidos en glucosado 5%.</t>
      </text>
    </comment>
    <comment authorId="0" ref="AK2">
      <text>
        <t xml:space="preserve">Compatible solo si ambos van diluidos en glucosado 5%.</t>
      </text>
    </comment>
    <comment authorId="0" ref="F3">
      <text>
        <t xml:space="preserve">Compatible solo si ambos van diluidos en glucosado 5%.</t>
      </text>
    </comment>
    <comment authorId="0" ref="AL2">
      <text>
        <t xml:space="preserve">Compatible solo si Adrenalina ≤ 32 mcg/ml y Pantoprazol ≤ 0,8 mg/ml (tabla 2).</t>
      </text>
    </comment>
    <comment authorId="0" ref="G3">
      <text>
        <t xml:space="preserve">Compatible solo si ambos van diluidos en glucosado 5%.</t>
      </text>
    </comment>
    <comment authorId="0" ref="I3">
      <text>
        <t xml:space="preserve">Compatible solo si ambos van diluidos en glucosado 5%.</t>
      </text>
    </comment>
    <comment authorId="0" ref="L36">
      <text>
        <t xml:space="preserve">Compatible solo si ambos van diluidos en glucosado 5%.</t>
      </text>
    </comment>
    <comment authorId="0" ref="M36">
      <text>
        <t xml:space="preserve">Compatible solo si ambos van diluidos en glucosado 5%.</t>
      </text>
    </comment>
    <comment authorId="0" ref="N36">
      <text>
        <t xml:space="preserve">Compatible solo si ambos van diluidos en glucosado 5%.</t>
      </text>
    </comment>
    <comment authorId="0" ref="AS35">
      <text>
        <t xml:space="preserve">Compatible solo si Nitroglicerina ≤ 0,1 mg/ml y Verapamilo ≤ 0,08 mg/ml (tabla 2).</t>
      </text>
    </comment>
    <comment authorId="0" ref="M3">
      <text>
        <t xml:space="preserve">Compatible solo si ambos van diluidos en glucosado 5%.</t>
      </text>
    </comment>
    <comment authorId="0" ref="N3">
      <text>
        <t xml:space="preserve">Compatible solo si ambos van diluidos en glucosado 5%.</t>
      </text>
    </comment>
    <comment authorId="0" ref="AS2">
      <text>
        <t xml:space="preserve">Compatible solo si Adrenalina ≤ 2 mcg/ml y Verapamilo ≤ 0,08 mg/ml (tabla 2).</t>
      </text>
    </comment>
    <comment authorId="0" ref="P3">
      <text>
        <t xml:space="preserve">Compatible solo si Amiodarona ≤ 4 mg/ml y Fenilefrina ≤ 0,04 mg/ml (tabla 2). Además, solo en glucosado 5%.</t>
      </text>
    </comment>
    <comment authorId="0" ref="Q3">
      <text>
        <t xml:space="preserve">Compatible solo si ambos van diluidos en glucosado 5%.</t>
      </text>
    </comment>
    <comment authorId="0" ref="S36">
      <text>
        <t xml:space="preserve">Compatible solo si ambos van diluidos en glucosado 5%.</t>
      </text>
    </comment>
    <comment authorId="0" ref="S3">
      <text>
        <t xml:space="preserve">Compatible solo si Amiodarona ≤ 6 mg/ml y Furosemida ≤ 1 mg/ml (tabla 2). Además, solo en glucosado 5%.</t>
      </text>
    </comment>
    <comment authorId="0" ref="T36">
      <text>
        <t xml:space="preserve">Compatible solo si ambos van diluidos en glucosado 5%.</t>
      </text>
    </comment>
    <comment authorId="0" ref="AJ19">
      <text>
        <t xml:space="preserve">Compatible solo si ambos van diluidos en glucosado 5%.</t>
      </text>
    </comment>
    <comment authorId="0" ref="U36">
      <text>
        <t xml:space="preserve">Compatible solo si ambos van diluidos en glucosado 5%.</t>
      </text>
    </comment>
    <comment authorId="0" ref="AK19">
      <text>
        <t xml:space="preserve">Compatible solo si ambos van diluidos en glucosado 5%.</t>
      </text>
    </comment>
    <comment authorId="0" ref="U3">
      <text>
        <t xml:space="preserve">Compatible solo si ambos van diluidos en glucosado 5%.</t>
      </text>
    </comment>
    <comment authorId="0" ref="V36">
      <text>
        <t xml:space="preserve">Compatible solo si ambos van diluidos en glucosado 5%.</t>
      </text>
    </comment>
    <comment authorId="0" ref="V3">
      <text>
        <t xml:space="preserve">Compatible solo si ambos van diluidos en glucosado 5%.</t>
      </text>
    </comment>
    <comment authorId="0" ref="W3">
      <text>
        <t xml:space="preserve">Compatible solo si ambos van diluidos en glucosado 5%.</t>
      </text>
    </comment>
    <comment authorId="0" ref="X36">
      <text>
        <t xml:space="preserve">Compatible solo si ambos van diluidos en glucosado 5%.</t>
      </text>
    </comment>
    <comment authorId="0" ref="Y36">
      <text>
        <t xml:space="preserve">Compatible solo si ambos van diluidos en glucosado 5%.</t>
      </text>
    </comment>
    <comment authorId="0" ref="X3">
      <text>
        <t xml:space="preserve">Compatible solo si ambos van diluidos en glucosado 5%.</t>
      </text>
    </comment>
    <comment authorId="0" ref="AB36">
      <text>
        <t xml:space="preserve">Compatible solo si ambos van diluidos en glucosado 5%.</t>
      </text>
    </comment>
    <comment authorId="0" ref="AC36">
      <text>
        <t xml:space="preserve">Compatible solo si ambos van diluidos en glucosado 5%.</t>
      </text>
    </comment>
    <comment authorId="0" ref="M20">
      <text>
        <t xml:space="preserve">Compatible solo si Dobutamina ≤ 1 mg/ml y Heparina sódica ≤ 50 UI/ml (tabla 2). Además, solo en suero fisiológico.</t>
      </text>
    </comment>
    <comment authorId="0" ref="AB3">
      <text>
        <t xml:space="preserve">Compatible solo si ambos van diluidos en glucosado 5%.</t>
      </text>
    </comment>
    <comment authorId="0" ref="AC3">
      <text>
        <t xml:space="preserve">Compatible solo si ambos van diluidos en glucosado 5%.</t>
      </text>
    </comment>
    <comment authorId="0" ref="AD36">
      <text>
        <t xml:space="preserve">Compatible solo si ambos van diluidos en glucosado 5%.</t>
      </text>
    </comment>
    <comment authorId="0" ref="AD3">
      <text>
        <t xml:space="preserve">Compatible solo si ambos van diluidos en glucosado 5%.</t>
      </text>
    </comment>
    <comment authorId="0" ref="AE36">
      <text>
        <t xml:space="preserve">Compatible solo si ambos van diluidos en glucosado 5%.</t>
      </text>
    </comment>
    <comment authorId="0" ref="AF36">
      <text>
        <t xml:space="preserve">Compatible solo si ambos van diluidos en glucosado 5%.</t>
      </text>
    </comment>
    <comment authorId="0" ref="B37">
      <text>
        <t xml:space="preserve">Compatible solo si ambos van diluidos en glucosado 5%.</t>
      </text>
    </comment>
    <comment authorId="0" ref="C37">
      <text>
        <t xml:space="preserve">Compatible solo si ambos van diluidos en glucosado 5%.</t>
      </text>
    </comment>
    <comment authorId="0" ref="AI36">
      <text>
        <t xml:space="preserve">Compatible solo si ambos van diluidos en glucosado 5%.</t>
      </text>
    </comment>
    <comment authorId="0" ref="D37">
      <text>
        <t xml:space="preserve">Compatible solo si ambos van diluidos en glucosado 5%.</t>
      </text>
    </comment>
    <comment authorId="0" ref="AI3">
      <text>
        <t xml:space="preserve">Compatible solo si ambos van diluidos en glucosado 5%.</t>
      </text>
    </comment>
    <comment authorId="0" ref="AJ3">
      <text>
        <t xml:space="preserve">Compatible solo si Amiodarona ≤ 15 mg/ml y Nitroprusiato ≤ 0,3 mg/ml (tabla 2). Además, solo en glucosado 5%.</t>
      </text>
    </comment>
    <comment authorId="0" ref="AK36">
      <text>
        <t xml:space="preserve">Compatible solo si ambos van diluidos en glucosado 5%.</t>
      </text>
    </comment>
    <comment authorId="0" ref="AK3">
      <text>
        <t xml:space="preserve">Compatible solo si ambos van diluidos en glucosado 5%.</t>
      </text>
    </comment>
    <comment authorId="0" ref="G37">
      <text>
        <t xml:space="preserve">Compatible solo si ambos van diluidos en glucosado 5%.</t>
      </text>
    </comment>
    <comment authorId="0" ref="I37">
      <text>
        <t xml:space="preserve">Compatible solo si ambos van diluidos en glucosado 5%.</t>
      </text>
    </comment>
    <comment authorId="0" ref="AN3">
      <text>
        <t xml:space="preserve">Compatible solo si ambos van diluidos en glucosado 5%.</t>
      </text>
    </comment>
    <comment authorId="0" ref="AO36">
      <text>
        <t xml:space="preserve">Compatible solo si ambos van diluidos en glucosado 5%.</t>
      </text>
    </comment>
    <comment authorId="0" ref="J37">
      <text>
        <t xml:space="preserve">Compatible solo si ambos van diluidos en glucosado 5%.</t>
      </text>
    </comment>
    <comment authorId="0" ref="L37">
      <text>
        <t xml:space="preserve">Compatible solo si ambos van diluidos en glucosado 5%.</t>
      </text>
    </comment>
    <comment authorId="0" ref="AR36">
      <text>
        <t xml:space="preserve">Compatible solo si Nitroprusiato ≤ 0,2 mg/ml y Vecuronio ≤ 0,1 mg/ml (tabla 2). Además, solo en glucosado 5%.</t>
      </text>
    </comment>
    <comment authorId="0" ref="M37">
      <text>
        <t xml:space="preserve">Compatible solo si ambos van diluidos en glucosado 5%.</t>
      </text>
    </comment>
    <comment authorId="0" ref="N37">
      <text>
        <t xml:space="preserve">Compatible solo si ambos van diluidos en glucosado 5%.</t>
      </text>
    </comment>
    <comment authorId="0" ref="AS36">
      <text>
        <t xml:space="preserve">Compatible solo si Nitroprusiato ≤ 0,1 mg/ml y Verapamilo ≤ 0,08 mg/ml (tabla 2). Además, solo en glucosado 5%.</t>
      </text>
    </comment>
    <comment authorId="0" ref="AR3">
      <text>
        <t xml:space="preserve">Compatible solo si ambos van diluidos en glucosado 5%.</t>
      </text>
    </comment>
    <comment authorId="0" ref="AS3">
      <text>
        <t xml:space="preserve">Compatible solo si ambos van diluidos en glucosado 5%.</t>
      </text>
    </comment>
    <comment authorId="0" ref="Q37">
      <text>
        <t xml:space="preserve">Compatible solo si ambos van diluidos en glucosado 5%.</t>
      </text>
    </comment>
    <comment authorId="0" ref="C21">
      <text>
        <t xml:space="preserve">Compatible solo si ambos van diluidos en glucosado 5%.</t>
      </text>
    </comment>
    <comment authorId="0" ref="S37">
      <text>
        <t xml:space="preserve">Compatible solo si ambos van diluidos en glucosado 5%.</t>
      </text>
    </comment>
    <comment authorId="0" ref="T37">
      <text>
        <t xml:space="preserve">Compatible solo si ambos van diluidos en glucosado 5%.</t>
      </text>
    </comment>
    <comment authorId="0" ref="AJ20">
      <text>
        <t xml:space="preserve">Compatible solo si ambos van diluidos en glucosado 5%.</t>
      </text>
    </comment>
    <comment authorId="0" ref="AK20">
      <text>
        <t xml:space="preserve">Compatible solo si ambos van diluidos en glucosado 5%.</t>
      </text>
    </comment>
    <comment authorId="0" ref="X37">
      <text>
        <t xml:space="preserve">Compatible solo si ambos van diluidos en glucosado 5%.</t>
      </text>
    </comment>
    <comment authorId="0" ref="AA37">
      <text>
        <t xml:space="preserve">Compatible solo si ambos van diluidos en glucosado 5%.</t>
      </text>
    </comment>
    <comment authorId="0" ref="AB37">
      <text>
        <t xml:space="preserve">Compatible solo si ambos van diluidos en glucosado 5%.</t>
      </text>
    </comment>
    <comment authorId="0" ref="AC37">
      <text>
        <t xml:space="preserve">Compatible solo si ambos van diluidos en glucosado 5%.</t>
      </text>
    </comment>
    <comment authorId="0" ref="AS20">
      <text>
        <t xml:space="preserve">Compatible solo si Heparina sódica ≤ 20 UI/ml y Verapamilo ≤ 0,08 mg/ml (tabla 2).</t>
      </text>
    </comment>
    <comment authorId="0" ref="AD37">
      <text>
        <t xml:space="preserve">Compatible solo si ambos van diluidos en glucosado 5%.</t>
      </text>
    </comment>
    <comment authorId="0" ref="AE37">
      <text>
        <t xml:space="preserve">Compatible solo si ambos van diluidos en glucosado 5%.</t>
      </text>
    </comment>
    <comment authorId="0" ref="AF37">
      <text>
        <t xml:space="preserve">Compatible solo si ambos van diluidos en glucosado 5%.</t>
      </text>
    </comment>
    <comment authorId="0" ref="B38">
      <text>
        <t xml:space="preserve">Compatible solo si Adrenalina ≤ 32 mcg/ml y Pantoprazol ≤ 0,8 mg/ml (tabla 2).</t>
      </text>
    </comment>
    <comment authorId="0" ref="AI37">
      <text>
        <t xml:space="preserve">Compatible solo si ambos van diluidos en glucosado 5%.</t>
      </text>
    </comment>
    <comment authorId="0" ref="AJ37">
      <text>
        <t xml:space="preserve">Compatible solo si ambos van diluidos en glucosado 5%.</t>
      </text>
    </comment>
    <comment authorId="0" ref="AJ4">
      <text>
        <t xml:space="preserve">Compatible solo si ambos van diluidos en glucosado 5%.</t>
      </text>
    </comment>
    <comment authorId="0" ref="AK4">
      <text>
        <t xml:space="preserve">Compatible solo si ambos van diluidos en glucosado 5%.</t>
      </text>
    </comment>
    <comment authorId="0" ref="AN37">
      <text>
        <t xml:space="preserve">Compatible solo si ambos van diluidos en glucosado 5%.</t>
      </text>
    </comment>
    <comment authorId="0" ref="AO37">
      <text>
        <t xml:space="preserve">Compatible solo si ambos van diluidos en glucosado 5%.</t>
      </text>
    </comment>
    <comment authorId="0" ref="AP37">
      <text>
        <t xml:space="preserve">Compatible solo si ambos van diluidos en glucosado 5%.</t>
      </text>
    </comment>
    <comment authorId="0" ref="AQ37">
      <text>
        <t xml:space="preserve">Compatible solo si ambos van diluidos en glucosado 5%.</t>
      </text>
    </comment>
    <comment authorId="0" ref="AR37">
      <text>
        <t xml:space="preserve">Compatible solo si ambos van diluidos en glucosado 5%.</t>
      </text>
    </comment>
    <comment authorId="0" ref="AS37">
      <text>
        <t xml:space="preserve">Compatible solo si Noradrenalina ≤ 0,008 mg/ml y Verapamilo ≤ 0,08 mg/ml (tabla 2). Además, solo en glucosado 5%.</t>
      </text>
    </comment>
    <comment authorId="0" ref="C22">
      <text>
        <t xml:space="preserve">Compatible solo si ambos van diluidos en glucosado 5%.</t>
      </text>
    </comment>
    <comment authorId="0" ref="AJ21">
      <text>
        <t xml:space="preserve">Compatible solo si ambos van diluidos en glucosado 5%.</t>
      </text>
    </comment>
    <comment authorId="0" ref="J22">
      <text>
        <t xml:space="preserve">Compatible solo si ambos van diluidos en suero fisiológico 0,9%.</t>
      </text>
    </comment>
    <comment authorId="0" ref="C6">
      <text>
        <t xml:space="preserve">Compatible solo si ambos van diluidos en glucosado 5%.</t>
      </text>
    </comment>
    <comment authorId="0" ref="Y22">
      <text>
        <t xml:space="preserve">Compatible solo si Isoproterenol ≤ 4 mcg/ml y Magnesio sulfato ≤ 1 mg/ml (tabla 2).</t>
      </text>
    </comment>
    <comment authorId="0" ref="K39">
      <text>
        <t xml:space="preserve">Compatible solo si Piperacilina-tazobactam ≤ 40 mg/ml y Dexmedetomidina ≤ 4 mcg/ml (tabla 2).</t>
      </text>
    </comment>
    <comment authorId="0" ref="M6">
      <text>
        <t xml:space="preserve">Compatible solo si Calcio cloruro ≤ 4 mg/ml y Dobutamina ≤ 4 mg/ml (tabla 2).</t>
      </text>
    </comment>
    <comment authorId="0" ref="C23">
      <text>
        <t xml:space="preserve">Compatible solo si ambos van diluidos en glucosado 5%.</t>
      </text>
    </comment>
    <comment authorId="0" ref="AJ22">
      <text>
        <t xml:space="preserve">Compatible solo si ambos van diluidos en glucosado 5%.</t>
      </text>
    </comment>
    <comment authorId="0" ref="H23">
      <text>
        <t xml:space="preserve">Compatible solo si Ceftazidima ≤ 125 mg/ml y Ketamina ≤ 10 mg/ml (tabla 2).</t>
      </text>
    </comment>
    <comment authorId="0" ref="AN22">
      <text>
        <t xml:space="preserve">Compatible solo si Isoproterenol ≤ 200 mcg/ml y Potasio cloruro ≤ 40 mEq/l (tabla 2).</t>
      </text>
    </comment>
    <comment authorId="0" ref="AR22">
      <text>
        <t xml:space="preserve">Compatible solo si Isoproterenol ≤ 4 mcg/ml y Vecuronio ≤ 0,1 mg/ml (tabla 2). Además, solo en glucosado 5%.</t>
      </text>
    </comment>
    <comment authorId="0" ref="AS22">
      <text>
        <t xml:space="preserve">Compatible solo si Isoproterenol ≤ 10 mcg/ml y Verapamilo ≤ 0,08 mg/ml (tabla 2).</t>
      </text>
    </comment>
    <comment authorId="0" ref="C40">
      <text>
        <t xml:space="preserve">Compatible solo si ambos van diluidos en glucosado 5%.</t>
      </text>
    </comment>
    <comment authorId="0" ref="C7">
      <text>
        <t xml:space="preserve">Compatible solo si ambos van diluidos en glucosado 5%.</t>
      </text>
    </comment>
    <comment authorId="0" ref="AJ6">
      <text>
        <t xml:space="preserve">Compatible solo si ambos van diluidos en glucosado 5%.</t>
      </text>
    </comment>
    <comment authorId="0" ref="AP39">
      <text>
        <t xml:space="preserve">Compatible solo si Piperacilina-tazobactam ≤ 40 mg/ml y Remifentanilo ≤ 250 mcg/ml (tabla 2).</t>
      </text>
    </comment>
    <comment authorId="0" ref="M40">
      <text>
        <t xml:space="preserve">Compatible solo si Dobutamina ≤ 4 mg/ml y Potasio cloruro ≤ 60 mEq/l (tabla 2).</t>
      </text>
    </comment>
    <comment authorId="0" ref="M7">
      <text>
        <t xml:space="preserve">Compatible solo si Calcio gluconato ≤ 4 mg/ml y Dobutamina ≤ 4 mg/ml (tabla 2). Además, solo en suero fisiológico.</t>
      </text>
    </comment>
    <comment authorId="0" ref="C24">
      <text>
        <t xml:space="preserve">Compatible solo si ambos van diluidos en glucosado 5%.</t>
      </text>
    </comment>
    <comment authorId="0" ref="V40">
      <text>
        <t xml:space="preserve">Compatible solo si Isoproterenol ≤ 200 mcg/ml y Potasio cloruro ≤ 40 mEq/l (tabla 2).</t>
      </text>
    </comment>
    <comment authorId="0" ref="Z40">
      <text>
        <t xml:space="preserve">Compatible solo si Meropenem ≤ 22 mg/ml y Potasio cloruro ≤ 40 mEq/l (tabla 2).</t>
      </text>
    </comment>
    <comment authorId="0" ref="AK40">
      <text>
        <t xml:space="preserve">Compatible solo si ambos van diluidos en glucosado 5%.</t>
      </text>
    </comment>
    <comment authorId="0" ref="AK7">
      <text>
        <t xml:space="preserve">Compatible solo si ambos van diluidos en glucosado 5%.</t>
      </text>
    </comment>
    <comment authorId="0" ref="AP40">
      <text>
        <t xml:space="preserve">Compatible solo si Potasio cloruro ≤ 100 mEq/l y Remifentanilo ≤ 250 mcg/ml (tabla 2).</t>
      </text>
    </comment>
    <comment authorId="0" ref="M8">
      <text>
        <t xml:space="preserve">Compatible solo si Ceftazidima ≤ 120 mg/ml y Dobutamina ≤ 1 mg/ml (tabla 2).</t>
      </text>
    </comment>
    <comment authorId="0" ref="N8">
      <text>
        <t xml:space="preserve">Compatible solo si Ceftazidima ≤ 120 mg/ml y Dopamina ≤ 0,4 mg/ml (tabla 2).</t>
      </text>
    </comment>
    <comment authorId="0" ref="AJ24">
      <text>
        <t xml:space="preserve">Compatible solo si ambos van diluidos en glucosado 5%.</t>
      </text>
    </comment>
    <comment authorId="0" ref="AK24">
      <text>
        <t xml:space="preserve">Compatible solo si ambos van diluidos en glucosado 5%.</t>
      </text>
    </comment>
    <comment authorId="0" ref="W8">
      <text>
        <t xml:space="preserve">Compatible solo si Ceftazidima ≤ 125 mg/ml y Ketamina ≤ 10 mg/ml (tabla 2).</t>
      </text>
    </comment>
    <comment authorId="0" ref="M25">
      <text>
        <t xml:space="preserve">Compatible solo si Dobutamina ≤ 4 mg/ml y Magnesio sulfato ≤ 40 mg/ml (tabla 2).</t>
      </text>
    </comment>
    <comment authorId="0" ref="C9">
      <text>
        <t xml:space="preserve">Compatible solo si ambos van diluidos en glucosado 5%.</t>
      </text>
    </comment>
    <comment authorId="0" ref="AJ41">
      <text>
        <t xml:space="preserve">Compatible solo si ambos van diluidos en glucosado 5%.</t>
      </text>
    </comment>
    <comment authorId="0" ref="AK41">
      <text>
        <t xml:space="preserve">Compatible solo si ambos van diluidos en glucosado 5%.</t>
      </text>
    </comment>
    <comment authorId="0" ref="V25">
      <text>
        <t xml:space="preserve">Compatible solo si Isoproterenol ≤ 4 mcg/ml y Magnesio sulfato ≤ 1 mg/ml (tabla 2).</t>
      </text>
    </comment>
    <comment authorId="0" ref="Q42">
      <text>
        <t xml:space="preserve">Compatible solo si Fentanilo ≤ 12,5 mcg/ml y Remifentanilo ≤ 0,25 mg/ml (tabla 2).</t>
      </text>
    </comment>
    <comment authorId="0" ref="AJ25">
      <text>
        <t xml:space="preserve">Compatible solo si ambos van diluidos en glucosado 5%.</t>
      </text>
    </comment>
    <comment authorId="0" ref="B10">
      <text>
        <t xml:space="preserve">Compatible solo si ambos van diluidos en suero fisiológico 0,9%.</t>
      </text>
    </comment>
    <comment authorId="0" ref="AK42">
      <text>
        <t xml:space="preserve">Compatible solo si ambos van diluidos en glucosado 5%.</t>
      </text>
    </comment>
    <comment authorId="0" ref="AK9">
      <text>
        <t xml:space="preserve">Compatible solo si ambos van diluidos en glucosado 5%.</t>
      </text>
    </comment>
    <comment authorId="0" ref="AM42">
      <text>
        <t xml:space="preserve">Compatible solo si Piperacilina-tazobactam ≤ 40 mg/ml y Remifentanilo ≤ 250 mcg/ml (tabla 2).</t>
      </text>
    </comment>
    <comment authorId="0" ref="AN42">
      <text>
        <t xml:space="preserve">Compatible solo si Potasio cloruro ≤ 100 mEq/l y Remifentanilo ≤ 250 mcg/ml (tabla 2).</t>
      </text>
    </comment>
    <comment authorId="0" ref="V10">
      <text>
        <t xml:space="preserve">Compatible solo si ambos van diluidos en suero fisiológico 0,9%.</t>
      </text>
    </comment>
    <comment authorId="0" ref="AN26">
      <text>
        <t xml:space="preserve">Compatible solo si Meropenem ≤ 22 mg/ml y Potasio cloruro ≤ 40 mEq/l (tabla 2).</t>
      </text>
    </comment>
    <comment authorId="0" ref="C44">
      <text>
        <t xml:space="preserve">Compatible solo si ambos van diluidos en glucosado 5%.</t>
      </text>
    </comment>
    <comment authorId="0" ref="AK43">
      <text>
        <t xml:space="preserve">Compatible solo si ambos van diluidos en glucosado 5%.</t>
      </text>
    </comment>
    <comment authorId="0" ref="AK10">
      <text>
        <t xml:space="preserve">Compatible solo si ambos van diluidos en glucosado 5%.</t>
      </text>
    </comment>
    <comment authorId="0" ref="C28">
      <text>
        <t xml:space="preserve">Compatible solo si ambos van diluidos en glucosado 5%.</t>
      </text>
    </comment>
    <comment authorId="0" ref="AK27">
      <text>
        <t xml:space="preserve">Compatible solo si ambos van diluidos en glucosado 5%.</t>
      </text>
    </comment>
    <comment authorId="0" ref="V44">
      <text>
        <t xml:space="preserve">Compatible solo si Isoproterenol ≤ 4 mcg/ml y Vecuronio ≤ 0,1 mg/ml (tabla 2). Además, solo en glucosado 5%.</t>
      </text>
    </comment>
    <comment authorId="0" ref="M28">
      <text>
        <t xml:space="preserve">Compatible solo si ambos van diluidos en glucosado 5%.</t>
      </text>
    </comment>
    <comment authorId="0" ref="N28">
      <text>
        <t xml:space="preserve">Compatible solo si Dopamina ≤ 3,2 mg/ml y Midazolam ≤ 2 mg/ml (tabla 2). Además, solo en glucosado 5%.</t>
      </text>
    </comment>
    <comment authorId="0" ref="B45">
      <text>
        <t xml:space="preserve">Compatible solo si Adrenalina ≤ 2 mcg/ml y Verapamilo ≤ 0,08 mg/ml (tabla 2).</t>
      </text>
    </comment>
    <comment authorId="0" ref="C45">
      <text>
        <t xml:space="preserve">Compatible solo si ambos van diluidos en glucosado 5%.</t>
      </text>
    </comment>
    <comment authorId="0" ref="AJ44">
      <text>
        <t xml:space="preserve">Compatible solo si Nitroprusiato ≤ 0,2 mg/ml y Vecuronio ≤ 0,1 mg/ml (tabla 2). Además, solo en glucosado 5%.</t>
      </text>
    </comment>
    <comment authorId="0" ref="AK44">
      <text>
        <t xml:space="preserve">Compatible solo si ambos van diluidos en glucosado 5%.</t>
      </text>
    </comment>
    <comment authorId="0" ref="AM11">
      <text>
        <t xml:space="preserve">Compatible solo si Piperacilina-tazobactam ≤ 40 mg/ml y Dexmedetomidina ≤ 4 mcg/ml (tabla 2).</t>
      </text>
    </comment>
    <comment authorId="0" ref="C29">
      <text>
        <t xml:space="preserve">Compatible solo si ambos van diluidos en glucosado 5%.</t>
      </text>
    </comment>
    <comment authorId="0" ref="T45">
      <text>
        <t xml:space="preserve">Compatible solo si Heparina sódica ≤ 20 UI/ml y Verapamilo ≤ 0,08 mg/ml (tabla 2).</t>
      </text>
    </comment>
    <comment authorId="0" ref="AJ28">
      <text>
        <t xml:space="preserve">Compatible solo si ambos van diluidos en glucosado 5%.</t>
      </text>
    </comment>
    <comment authorId="0" ref="AK28">
      <text>
        <t xml:space="preserve">Compatible solo si ambos van diluidos en glucosado 5%.</t>
      </text>
    </comment>
    <comment authorId="0" ref="V45">
      <text>
        <t xml:space="preserve">Compatible solo si Isoproterenol ≤ 10 mcg/ml y Verapamilo ≤ 0,08 mg/ml (tabla 2).</t>
      </text>
    </comment>
    <comment authorId="0" ref="AH45">
      <text>
        <t xml:space="preserve">Compatible solo si Naloxona ≤ 0,8 mcg/ml y Verapamilo ≤ 0,08 mg/ml (tabla 2).</t>
      </text>
    </comment>
    <comment authorId="0" ref="C13">
      <text>
        <t xml:space="preserve">Compatible solo si ambos van diluidos en glucosado 5%.</t>
      </text>
    </comment>
    <comment authorId="0" ref="AI45">
      <text>
        <t xml:space="preserve">Compatible solo si Nitroglicerina ≤ 0,1 mg/ml y Verapamilo ≤ 0,08 mg/ml (tabla 2).</t>
      </text>
    </comment>
    <comment authorId="0" ref="AJ45">
      <text>
        <t xml:space="preserve">Compatible solo si Nitroprusiato ≤ 0,1 mg/ml y Verapamilo ≤ 0,08 mg/ml (tabla 2). Además, solo en glucosado 5%.</t>
      </text>
    </comment>
    <comment authorId="0" ref="AJ12">
      <text>
        <t xml:space="preserve">Compatible solo si ambos van diluidos en glucosado 5%.</t>
      </text>
    </comment>
    <comment authorId="0" ref="AK45">
      <text>
        <t xml:space="preserve">Compatible solo si Noradrenalina ≤ 0,008 mg/ml y Verapamilo ≤ 0,08 mg/ml (tabla 2). Además, solo en glucosado 5%.</t>
      </text>
    </comment>
    <comment authorId="0" ref="F13">
      <text>
        <t xml:space="preserve">Compatible solo si Calcio cloruro ≤ 4 mg/ml y Dobutamina ≤ 4 mg/ml (tabla 2).</t>
      </text>
    </comment>
    <comment authorId="0" ref="AK12">
      <text>
        <t xml:space="preserve">Compatible solo si ambos van diluidos en glucosado 5%.</t>
      </text>
    </comment>
    <comment authorId="0" ref="G13">
      <text>
        <t xml:space="preserve">Compatible solo si Calcio gluconato ≤ 4 mg/ml y Dobutamina ≤ 4 mg/ml (tabla 2). Además, solo en suero fisiológico.</t>
      </text>
    </comment>
    <comment authorId="0" ref="H13">
      <text>
        <t xml:space="preserve">Compatible solo si Ceftazidima ≤ 120 mg/ml y Dobutamina ≤ 1 mg/ml (tabla 2).</t>
      </text>
    </comment>
    <comment authorId="0" ref="C30">
      <text>
        <t xml:space="preserve">Compatible solo si ambos van diluidos en glucosado 5%.</t>
      </text>
    </comment>
    <comment authorId="0" ref="AJ29">
      <text>
        <t xml:space="preserve">Compatible solo si ambos van diluidos en glucosado 5%.</t>
      </text>
    </comment>
    <comment authorId="0" ref="T13">
      <text>
        <t xml:space="preserve">Compatible solo si Dobutamina ≤ 1 mg/ml y Heparina sódica ≤ 50 UI/ml (tabla 2). Además, solo en suero fisiológico.</t>
      </text>
    </comment>
    <comment authorId="0" ref="AK29">
      <text>
        <t xml:space="preserve">Compatible solo si ambos van diluidos en glucosado 5%.</t>
      </text>
    </comment>
    <comment authorId="0" ref="Y13">
      <text>
        <t xml:space="preserve">Compatible solo si Dobutamina ≤ 4 mg/ml y Magnesio sulfato ≤ 40 mg/ml (tabla 2).</t>
      </text>
    </comment>
    <comment authorId="0" ref="AB13">
      <text>
        <t xml:space="preserve">Compatible solo si ambos van diluidos en glucosado 5%.</t>
      </text>
    </comment>
    <comment authorId="0" ref="C14">
      <text>
        <t xml:space="preserve">Compatible solo si ambos van diluidos en glucosado 5%.</t>
      </text>
    </comment>
    <comment authorId="0" ref="AJ13">
      <text>
        <t xml:space="preserve">Compatible solo si ambos van diluidos en glucosado 5%.</t>
      </text>
    </comment>
    <comment authorId="0" ref="AK13">
      <text>
        <t xml:space="preserve">Compatible solo si ambos van diluidos en glucosado 5%.</t>
      </text>
    </comment>
    <comment authorId="0" ref="H14">
      <text>
        <t xml:space="preserve">Compatible solo si Ceftazidima ≤ 120 mg/ml y Dopamina ≤ 0,4 mg/ml (tabla 2).</t>
      </text>
    </comment>
    <comment authorId="0" ref="AN13">
      <text>
        <t xml:space="preserve">Compatible solo si Dobutamina ≤ 4 mg/ml y Potasio cloruro ≤ 60 mEq/l (tabla 2).</t>
      </text>
    </comment>
    <comment authorId="0" ref="AJ30">
      <text>
        <t xml:space="preserve">Compatible solo si ambos van diluidos en glucosado 5%.</t>
      </text>
    </comment>
    <comment authorId="0" ref="AK30">
      <text>
        <t xml:space="preserve">Compatible solo si ambos van diluidos en glucosado 5%.</t>
      </text>
    </comment>
    <comment authorId="0" ref="AB14">
      <text>
        <t xml:space="preserve">Compatible solo si Dopamina ≤ 3,2 mg/ml y Midazolam ≤ 2 mg/ml (tabla 2). Además, solo en glucosado 5%.</t>
      </text>
    </comment>
    <comment authorId="0" ref="AJ14">
      <text>
        <t xml:space="preserve">Compatible solo si ambos van diluidos en glucosado 5%.</t>
      </text>
    </comment>
    <comment authorId="0" ref="AK14">
      <text>
        <t xml:space="preserve">Compatible solo si ambos van diluidos en glucosado 5%.</t>
      </text>
    </comment>
    <comment authorId="0" ref="AF31">
      <text>
        <t xml:space="preserve">No aplica: ambas son nutrición parenteral (casilla negra en el original; no cuenta entre las 945 parejas).</t>
      </text>
    </comment>
    <comment authorId="0" ref="AJ31">
      <text>
        <t xml:space="preserve">Compatible solo si ambos van diluidos en glucosado 5%.</t>
      </text>
    </comment>
    <comment authorId="0" ref="AK31">
      <text>
        <t xml:space="preserve">Compatible solo si ambos van diluidos en glucosado 5%.</t>
      </text>
    </comment>
    <comment authorId="0" ref="C16">
      <text>
        <t xml:space="preserve">Compatible solo si Amiodarona ≤ 4 mg/ml y Fenilefrina ≤ 0,04 mg/ml (tabla 2). Además, solo en glucosado 5%.</t>
      </text>
    </comment>
    <comment authorId="0" ref="AE32">
      <text>
        <t xml:space="preserve">No aplica: ambas son nutrición parenteral (casilla negra en el original; no cuenta entre las 945 parejas).</t>
      </text>
    </comment>
    <comment authorId="0" ref="AJ32">
      <text>
        <t xml:space="preserve">Compatible solo si ambos van diluidos en glucosado 5%.</t>
      </text>
    </comment>
    <comment authorId="0" ref="AK32">
      <text>
        <t xml:space="preserve">Compatible solo si ambos van diluidos en glucosado 5%.</t>
      </text>
    </comment>
    <comment authorId="0" ref="C17">
      <text>
        <t xml:space="preserve">Compatible solo si ambos van diluidos en glucosado 5%.</t>
      </text>
    </comment>
  </commentList>
</comments>
</file>

<file path=xl/sharedStrings.xml><?xml version="1.0" encoding="utf-8"?>
<sst xmlns="http://schemas.openxmlformats.org/spreadsheetml/2006/main" count="1337" uniqueCount="138">
  <si>
    <t>Fármaco 1</t>
  </si>
  <si>
    <t>Leyenda y resumen</t>
  </si>
  <si>
    <t>Fármaco</t>
  </si>
  <si>
    <t>Buscar pareja de fármacos</t>
  </si>
  <si>
    <t>Elija los dos fármacos en las casillas amarillas (desplegable).</t>
  </si>
  <si>
    <t>Adrenalina</t>
  </si>
  <si>
    <t>Concentración máxima compatible</t>
  </si>
  <si>
    <t>Fármaco 2</t>
  </si>
  <si>
    <t>Código</t>
  </si>
  <si>
    <t>Diluyente exigido</t>
  </si>
  <si>
    <t>Significado</t>
  </si>
  <si>
    <t>Nº de parejas</t>
  </si>
  <si>
    <t>Amiodarona</t>
  </si>
  <si>
    <t>C</t>
  </si>
  <si>
    <t>Argatroban</t>
  </si>
  <si>
    <t>32 mcg/ml</t>
  </si>
  <si>
    <t>Pantoprazol</t>
  </si>
  <si>
    <t>0,8 mg/ml</t>
  </si>
  <si>
    <t>Bicarbonato sódico</t>
  </si>
  <si>
    <t>Cualquiera de los estudiados</t>
  </si>
  <si>
    <t>Calcio cloruro</t>
  </si>
  <si>
    <t>Calcio gluconato</t>
  </si>
  <si>
    <t>2 mcg/ml</t>
  </si>
  <si>
    <t>Ceftazidima</t>
  </si>
  <si>
    <t>Verapamilo</t>
  </si>
  <si>
    <t>Cisatracurio</t>
  </si>
  <si>
    <t>0,08 mg/ml</t>
  </si>
  <si>
    <t>Clonidina</t>
  </si>
  <si>
    <t>Compatible en Y</t>
  </si>
  <si>
    <t>4 mg/ml</t>
  </si>
  <si>
    <t>Fenilefrina</t>
  </si>
  <si>
    <t>Dexmedetomidina</t>
  </si>
  <si>
    <t>0,04 mg/ml</t>
  </si>
  <si>
    <t>Glucosado 5%</t>
  </si>
  <si>
    <t>Diltiazem</t>
  </si>
  <si>
    <t>6 mg/ml</t>
  </si>
  <si>
    <t>Furosemida</t>
  </si>
  <si>
    <t>Dobutamina</t>
  </si>
  <si>
    <t>1 mg/ml</t>
  </si>
  <si>
    <t>Dopamina</t>
  </si>
  <si>
    <t>15 mg/ml</t>
  </si>
  <si>
    <t>Esomeprazol</t>
  </si>
  <si>
    <t>Nitroprusiato</t>
  </si>
  <si>
    <t>0,3 mg/ml</t>
  </si>
  <si>
    <t>Fentanilo</t>
  </si>
  <si>
    <t>Flumazenilo</t>
  </si>
  <si>
    <t>Heparina sódica</t>
  </si>
  <si>
    <t>Suero fisiológico 0,9%</t>
  </si>
  <si>
    <t>Insulina</t>
  </si>
  <si>
    <t>120 mg/ml</t>
  </si>
  <si>
    <t>Isoproterenol</t>
  </si>
  <si>
    <t>Ketamina</t>
  </si>
  <si>
    <t>Labetalol</t>
  </si>
  <si>
    <t>Magnesio sulfato</t>
  </si>
  <si>
    <t>0,4 mg/ml</t>
  </si>
  <si>
    <t>Meropenem</t>
  </si>
  <si>
    <t>125 mg/ml</t>
  </si>
  <si>
    <t>Metadona</t>
  </si>
  <si>
    <t>10 mg/ml</t>
  </si>
  <si>
    <t>Midazolam</t>
  </si>
  <si>
    <t>Milrinona</t>
  </si>
  <si>
    <t>50 UI/ml</t>
  </si>
  <si>
    <t>Morfina cloruro</t>
  </si>
  <si>
    <t>Nutrición parenteral NO lipídica</t>
  </si>
  <si>
    <t>Nutrición parenteral lipídica</t>
  </si>
  <si>
    <t>40 mg/ml</t>
  </si>
  <si>
    <t>N-acetilcisteína</t>
  </si>
  <si>
    <t>Naloxona</t>
  </si>
  <si>
    <t>Potasio cloruro</t>
  </si>
  <si>
    <t>60 mEq/l</t>
  </si>
  <si>
    <t>Nitroglicerina</t>
  </si>
  <si>
    <t>3,2 mg/ml</t>
  </si>
  <si>
    <t>Noradrenalina</t>
  </si>
  <si>
    <t>2 mg/ml</t>
  </si>
  <si>
    <t>Piperacilina-tazobactam</t>
  </si>
  <si>
    <t>12,5 mcg/ml</t>
  </si>
  <si>
    <t>Remifentanilo</t>
  </si>
  <si>
    <t>0,25 mg/ml</t>
  </si>
  <si>
    <t>Propofol</t>
  </si>
  <si>
    <t>20 UI/ml</t>
  </si>
  <si>
    <t>Somatostatina</t>
  </si>
  <si>
    <t>Vecuronio</t>
  </si>
  <si>
    <t>4 mcg/ml</t>
  </si>
  <si>
    <t>200 mcg/ml</t>
  </si>
  <si>
    <t>40 mEq/l</t>
  </si>
  <si>
    <t>0,1 mg/ml</t>
  </si>
  <si>
    <t>10 mcg/ml</t>
  </si>
  <si>
    <t>22 mg/ml</t>
  </si>
  <si>
    <t>C (G5)</t>
  </si>
  <si>
    <t>0,8 mcg/ml</t>
  </si>
  <si>
    <t>0,2 mg/ml</t>
  </si>
  <si>
    <t>Compatible solo si ambos van en glucosado 5%</t>
  </si>
  <si>
    <t>Resultado</t>
  </si>
  <si>
    <t>0,008 mg/ml</t>
  </si>
  <si>
    <t>250 mcg/ml</t>
  </si>
  <si>
    <t>100 mEq/l</t>
  </si>
  <si>
    <t>Fuente: Castells Lao G et al. Med Intensiva. 2020;44(2):80-87, tabla 2 (casillas «I/C» de la figura 2).</t>
  </si>
  <si>
    <t>C (SF)</t>
  </si>
  <si>
    <t>Compatible solo si ambos van en suero fisiológico 0,9%</t>
  </si>
  <si>
    <t>I</t>
  </si>
  <si>
    <t>Incompatible: no administrar por la misma luz</t>
  </si>
  <si>
    <t>I/C</t>
  </si>
  <si>
    <t>Compatible solo en condiciones especiales (concentración máxima, ver tabla 2)</t>
  </si>
  <si>
    <t>I/C (G5)</t>
  </si>
  <si>
    <t>Condiciones especiales y además solo en glucosado 5%</t>
  </si>
  <si>
    <t>I/C (SF)</t>
  </si>
  <si>
    <t>Condiciones especiales y además solo en suero fisiológico</t>
  </si>
  <si>
    <t>Recuerde: revise las dosis estándares de su unidad. Herramienta de apoyo; no sustituye a Farmacia.</t>
  </si>
  <si>
    <t>(vacía)</t>
  </si>
  <si>
    <t>Sin datos publicados: tratar como no compatible hasta verificar</t>
  </si>
  <si>
    <t>Diagonal: el mismo fármaco</t>
  </si>
  <si>
    <t>Total de parejas posibles</t>
  </si>
  <si>
    <t>Compatibles (C + C (G5) + C (SF)) — el artículo publica 366</t>
  </si>
  <si>
    <t>Condicionales (I/C, I/C (G5), I/C (SF)) — el artículo publica 29</t>
  </si>
  <si>
    <t>Fuente: Castells Lao G, Rodríguez Reyes M, Roura Turet J, Prat Dot M, Soy Muner D, López Cabezas C. Compatibilidad de los fármacos administrados en «Y» en las unidades de cuidados intensivos: revisión sistemática. Med Intensiva. 2020;44(2):80-87. doi:10.1016/j.medin.2018.08.004 (figura 2, tablas 1 y 2).</t>
  </si>
  <si>
    <t>Los datos valoran parejas de 2 fármacos a las concentraciones de la tabla 1. Con 3 o más fármacos en una luz, o a concentraciones mayores, los resultados no se pueden extrapolar.</t>
  </si>
  <si>
    <t>Herramienta de apoyo: no sustituye el juicio clínico ni la consulta con Farmacia. Revise las dosis estándares de su unidad.</t>
  </si>
  <si>
    <t>Concentración estandarizada de referencia</t>
  </si>
  <si>
    <t>40 mcg/ml</t>
  </si>
  <si>
    <t>3,6 mg/ml</t>
  </si>
  <si>
    <t>1 mmol/l</t>
  </si>
  <si>
    <t>24 mg/ml</t>
  </si>
  <si>
    <t>7,5 mcg/ml</t>
  </si>
  <si>
    <t>8 mg/ml</t>
  </si>
  <si>
    <t>0,32 mg/ml</t>
  </si>
  <si>
    <t>30 mcg/ml</t>
  </si>
  <si>
    <t>1 UI/ml</t>
  </si>
  <si>
    <t>50 mg/ml</t>
  </si>
  <si>
    <t>30 mg/ml</t>
  </si>
  <si>
    <t>8 mcg/ml</t>
  </si>
  <si>
    <t>64 mg/ml</t>
  </si>
  <si>
    <t>120 mEq/l</t>
  </si>
  <si>
    <t>20 mcg/ml</t>
  </si>
  <si>
    <t>24 mcg/ml</t>
  </si>
  <si>
    <t>Fuente: Castells Lao G et al. Med Intensiva. 2020;44(2):80-87, tabla 1. Los resultados de la matriz se estudiaron a estas concentraciones y no se pueden extrapolar a concentraciones mayores.</t>
  </si>
  <si>
    <t>—</t>
  </si>
  <si>
    <t>Fuente: Castells Lao G et al. Med Intensiva. 2020;44(2):80-87, figura 2. Pase el ratón por una casilla «I/C», «(G5)» o «(SF)» para ver su condición.</t>
  </si>
  <si>
    <t>Casilla en blanco = sin datos publicados: no administrar por la misma luz sin verificar.</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</si>
</sst>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4.0"/>
      <color rgb="FF0F4A2A"/>
      <name val="Arial"/>
    </font>
    <font>
      <b/>
      <sz val="10.0"/>
      <color theme="1"/>
      <name val="Arial"/>
    </font>
    <font>
      <b/>
      <sz val="11.0"/>
      <color rgb="FFFFFFFF"/>
      <name val="Arial"/>
    </font>
    <font>
      <i/>
      <sz val="10.0"/>
      <color theme="1"/>
      <name val="Arial"/>
    </font>
    <font>
      <b/>
      <sz val="9.0"/>
      <color theme="1"/>
      <name val="Arial"/>
    </font>
    <font>
      <b/>
      <sz val="11.0"/>
      <color theme="1"/>
      <name val="Arial"/>
    </font>
    <font>
      <sz val="10.0"/>
      <color theme="1"/>
      <name val="Arial"/>
    </font>
    <font>
      <b/>
      <sz val="11.0"/>
      <color rgb="FF000000"/>
      <name val="Arial"/>
    </font>
    <font>
      <sz val="11.0"/>
      <color theme="1"/>
      <name val="Arial"/>
    </font>
    <font>
      <b/>
      <sz val="11.0"/>
      <color rgb="FF0000FF"/>
      <name val="Arial"/>
    </font>
    <font>
      <sz val="11.0"/>
      <color theme="1"/>
      <name val="Calibri"/>
    </font>
    <font>
      <i/>
      <sz val="9.0"/>
      <color theme="1"/>
      <name val="Arial"/>
    </font>
    <font>
      <sz val="8.0"/>
      <color rgb="FF000000"/>
      <name val="Arial"/>
    </font>
    <font>
      <b/>
      <sz val="8.0"/>
      <color rgb="FFFFFFFF"/>
      <name val="Arial"/>
    </font>
    <font>
      <b/>
      <sz val="14.0"/>
      <color theme="1"/>
      <name val="Arial"/>
    </font>
    <font>
      <b/>
      <sz val="8.0"/>
      <color rgb="FF000000"/>
      <name val="Arial"/>
    </font>
    <font>
      <i/>
      <sz val="11.0"/>
      <color theme="1"/>
      <name val="Arial"/>
    </font>
    <font/>
    <font>
      <color theme="1"/>
      <name val="Calibri"/>
      <scheme val="minor"/>
    </font>
  </fonts>
  <fills count="13">
    <fill>
      <patternFill patternType="none"/>
    </fill>
    <fill>
      <patternFill patternType="lightGray"/>
    </fill>
    <fill>
      <patternFill patternType="solid">
        <fgColor rgb="FF0F4A2A"/>
        <bgColor rgb="FF0F4A2A"/>
      </patternFill>
    </fill>
    <fill>
      <patternFill patternType="solid">
        <fgColor rgb="FFFFF2CC"/>
        <bgColor rgb="FFFFF2CC"/>
      </patternFill>
    </fill>
    <fill>
      <patternFill patternType="solid">
        <fgColor rgb="FFC6EFCE"/>
        <bgColor rgb="FFC6EFCE"/>
      </patternFill>
    </fill>
    <fill>
      <patternFill patternType="solid">
        <fgColor rgb="FFFFFF00"/>
        <bgColor rgb="FFFFFF00"/>
      </patternFill>
    </fill>
    <fill>
      <patternFill patternType="solid">
        <fgColor rgb="FFBDD7EE"/>
        <bgColor rgb="FFBDD7EE"/>
      </patternFill>
    </fill>
    <fill>
      <patternFill patternType="solid">
        <fgColor rgb="FF000000"/>
        <bgColor rgb="FF000000"/>
      </patternFill>
    </fill>
    <fill>
      <patternFill patternType="solid">
        <fgColor rgb="FFD9D2E9"/>
        <bgColor rgb="FFD9D2E9"/>
      </patternFill>
    </fill>
    <fill>
      <patternFill patternType="solid">
        <fgColor rgb="FFC00000"/>
        <bgColor rgb="FFC00000"/>
      </patternFill>
    </fill>
    <fill>
      <patternFill patternType="solid">
        <fgColor rgb="FFFFE699"/>
        <bgColor rgb="FFFFE699"/>
      </patternFill>
    </fill>
    <fill>
      <patternFill patternType="solid">
        <fgColor rgb="FFF2F2F2"/>
        <bgColor rgb="FFF2F2F2"/>
      </patternFill>
    </fill>
    <fill>
      <patternFill patternType="solid">
        <fgColor rgb="FFE2EFDA"/>
        <bgColor rgb="FFE2EFDA"/>
      </patternFill>
    </fill>
  </fills>
  <borders count="5">
    <border/>
    <border>
      <left style="thin">
        <color rgb="FFA6A6A6"/>
      </left>
      <right style="thin">
        <color rgb="FFA6A6A6"/>
      </right>
      <top style="thin">
        <color rgb="FFA6A6A6"/>
      </top>
      <bottom style="thin">
        <color rgb="FFA6A6A6"/>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2" numFmtId="0" xfId="0" applyAlignment="1" applyFont="1">
      <alignment horizontal="left" shrinkToFit="0" vertical="bottom" wrapText="0"/>
    </xf>
    <xf borderId="0" fillId="0" fontId="1" numFmtId="0" xfId="0" applyAlignment="1" applyFont="1">
      <alignment shrinkToFit="0" vertical="bottom" wrapText="0"/>
    </xf>
    <xf borderId="1" fillId="2" fontId="3" numFmtId="0" xfId="0" applyAlignment="1" applyBorder="1" applyFill="1" applyFont="1">
      <alignment shrinkToFit="0" vertical="center" wrapText="1"/>
    </xf>
    <xf borderId="0" fillId="0" fontId="4" numFmtId="0" xfId="0" applyAlignment="1" applyFont="1">
      <alignment shrinkToFit="0" vertical="bottom" wrapText="0"/>
    </xf>
    <xf borderId="1" fillId="2" fontId="3" numFmtId="0" xfId="0" applyAlignment="1" applyBorder="1" applyFill="1" applyFont="1">
      <alignment shrinkToFit="0" vertical="bottom" wrapText="0"/>
    </xf>
    <xf borderId="1" fillId="0" fontId="5" numFmtId="0" xfId="0" applyAlignment="1" applyBorder="1" applyFont="1">
      <alignment horizontal="center" shrinkToFit="0" textRotation="90" vertical="bottom" wrapText="0"/>
    </xf>
    <xf borderId="0" fillId="0" fontId="6" numFmtId="0" xfId="0" applyAlignment="1" applyFont="1">
      <alignment shrinkToFit="0" vertical="bottom" wrapText="0"/>
    </xf>
    <xf borderId="1" fillId="3" fontId="7" numFmtId="0" xfId="0" applyAlignment="1" applyBorder="1" applyFill="1" applyFont="1">
      <alignment shrinkToFit="0" vertical="bottom" wrapText="0"/>
    </xf>
    <xf borderId="1" fillId="0" fontId="7" numFmtId="0" xfId="0" applyAlignment="1" applyBorder="1" applyFont="1">
      <alignment shrinkToFit="0" vertical="bottom" wrapText="0"/>
    </xf>
    <xf borderId="1" fillId="4" fontId="8" numFmtId="0" xfId="0" applyAlignment="1" applyBorder="1" applyFill="1" applyFont="1">
      <alignment horizontal="center" shrinkToFit="0" vertical="center" wrapText="0"/>
    </xf>
    <xf borderId="1" fillId="0" fontId="9" numFmtId="0" xfId="0" applyAlignment="1" applyBorder="1" applyFont="1">
      <alignment shrinkToFit="0" vertical="bottom" wrapText="0"/>
    </xf>
    <xf borderId="1" fillId="0" fontId="5" numFmtId="0" xfId="0" applyAlignment="1" applyBorder="1" applyFont="1">
      <alignment horizontal="left" shrinkToFit="0" vertical="center" wrapText="0"/>
    </xf>
    <xf borderId="1" fillId="0" fontId="9" numFmtId="0" xfId="0" applyAlignment="1" applyBorder="1" applyFont="1">
      <alignment horizontal="center" shrinkToFit="0" vertical="center" wrapText="0"/>
    </xf>
    <xf borderId="1" fillId="5" fontId="10" numFmtId="0" xfId="0" applyAlignment="1" applyBorder="1" applyFill="1" applyFont="1">
      <alignment readingOrder="0" shrinkToFit="0" vertical="bottom" wrapText="0"/>
    </xf>
    <xf borderId="1" fillId="6" fontId="8" numFmtId="0" xfId="0" applyAlignment="1" applyBorder="1" applyFill="1" applyFont="1">
      <alignment horizontal="center" shrinkToFit="0" vertical="center" wrapText="0"/>
    </xf>
    <xf borderId="1" fillId="7" fontId="11" numFmtId="0" xfId="0" applyAlignment="1" applyBorder="1" applyFill="1" applyFont="1">
      <alignment horizontal="center" shrinkToFit="0" vertical="center" wrapText="0"/>
    </xf>
    <xf borderId="0" fillId="0" fontId="12" numFmtId="0" xfId="0" applyAlignment="1" applyFont="1">
      <alignment shrinkToFit="0" vertical="bottom" wrapText="0"/>
    </xf>
    <xf borderId="1" fillId="8" fontId="8" numFmtId="0" xfId="0" applyAlignment="1" applyBorder="1" applyFill="1" applyFont="1">
      <alignment horizontal="center" shrinkToFit="0" vertical="center" wrapText="0"/>
    </xf>
    <xf borderId="1" fillId="6" fontId="13" numFmtId="0" xfId="0" applyAlignment="1" applyBorder="1" applyFill="1" applyFont="1">
      <alignment horizontal="center" shrinkToFit="0" vertical="center" wrapText="0"/>
    </xf>
    <xf borderId="1" fillId="0" fontId="13" numFmtId="0" xfId="0" applyAlignment="1" applyBorder="1" applyFont="1">
      <alignment horizontal="center" shrinkToFit="0" vertical="center" wrapText="0"/>
    </xf>
    <xf borderId="1" fillId="9" fontId="14" numFmtId="0" xfId="0" applyAlignment="1" applyBorder="1" applyFill="1" applyFont="1">
      <alignment horizontal="center" shrinkToFit="0" vertical="center" wrapText="0"/>
    </xf>
    <xf borderId="1" fillId="4" fontId="13" numFmtId="0" xfId="0" applyAlignment="1" applyBorder="1" applyFill="1" applyFont="1">
      <alignment horizontal="center" shrinkToFit="0" vertical="center" wrapText="0"/>
    </xf>
    <xf borderId="1" fillId="9" fontId="3" numFmtId="0" xfId="0" applyAlignment="1" applyBorder="1" applyFill="1" applyFont="1">
      <alignment horizontal="center" shrinkToFit="0" vertical="center" wrapText="0"/>
    </xf>
    <xf borderId="1" fillId="8" fontId="13" numFmtId="0" xfId="0" applyAlignment="1" applyBorder="1" applyFill="1" applyFont="1">
      <alignment horizontal="center" shrinkToFit="0" vertical="center" wrapText="0"/>
    </xf>
    <xf borderId="1" fillId="10" fontId="8" numFmtId="0" xfId="0" applyAlignment="1" applyBorder="1" applyFill="1" applyFont="1">
      <alignment horizontal="center" shrinkToFit="0" vertical="center" wrapText="0"/>
    </xf>
    <xf borderId="1" fillId="0" fontId="15" numFmtId="0" xfId="0" applyAlignment="1" applyBorder="1" applyFont="1">
      <alignment horizontal="center" shrinkToFit="0" vertical="center" wrapText="0"/>
    </xf>
    <xf borderId="1" fillId="10" fontId="16" numFmtId="0" xfId="0" applyAlignment="1" applyBorder="1" applyFill="1" applyFont="1">
      <alignment horizontal="center" shrinkToFit="0" vertical="center" wrapText="0"/>
    </xf>
    <xf borderId="1" fillId="11" fontId="5" numFmtId="0" xfId="0" applyAlignment="1" applyBorder="1" applyFill="1" applyFont="1">
      <alignment horizontal="left" shrinkToFit="0" vertical="center" wrapText="0"/>
    </xf>
    <xf borderId="0" fillId="0" fontId="9" numFmtId="0" xfId="0" applyAlignment="1" applyFont="1">
      <alignment shrinkToFit="0" vertical="center" wrapText="1"/>
    </xf>
    <xf borderId="1" fillId="0" fontId="17" numFmtId="0" xfId="0" applyAlignment="1" applyBorder="1" applyFont="1">
      <alignment horizontal="center" shrinkToFit="0" vertical="center" wrapText="0"/>
    </xf>
    <xf borderId="1" fillId="7" fontId="11" numFmtId="0" xfId="0" applyAlignment="1" applyBorder="1" applyFill="1" applyFont="1">
      <alignment shrinkToFit="0" vertical="bottom" wrapText="0"/>
    </xf>
    <xf borderId="0" fillId="0" fontId="6" numFmtId="0" xfId="0" applyAlignment="1" applyFont="1">
      <alignment horizontal="center" shrinkToFit="0" vertical="center" wrapText="0"/>
    </xf>
    <xf borderId="0" fillId="0" fontId="9" numFmtId="0" xfId="0" applyAlignment="1" applyFont="1">
      <alignment shrinkToFit="0" vertical="bottom" wrapText="0"/>
    </xf>
    <xf borderId="0" fillId="0" fontId="9" numFmtId="0" xfId="0" applyAlignment="1" applyFont="1">
      <alignment horizontal="center" shrinkToFit="0" vertical="center" wrapText="0"/>
    </xf>
    <xf borderId="0" fillId="0" fontId="12" numFmtId="0" xfId="0" applyAlignment="1" applyFont="1">
      <alignment shrinkToFit="0" vertical="top" wrapText="1"/>
    </xf>
    <xf borderId="1" fillId="12" fontId="7" numFmtId="0" xfId="0" applyAlignment="1" applyBorder="1" applyFill="1" applyFont="1">
      <alignment shrinkToFit="0" vertical="bottom" wrapText="0"/>
    </xf>
    <xf borderId="1" fillId="7" fontId="13" numFmtId="0" xfId="0" applyAlignment="1" applyBorder="1" applyFill="1" applyFont="1">
      <alignment horizontal="center" shrinkToFit="0" vertical="center" wrapText="0"/>
    </xf>
    <xf borderId="2" fillId="2" fontId="3" numFmtId="0" xfId="0" applyAlignment="1" applyBorder="1" applyFill="1" applyFont="1">
      <alignment shrinkToFit="0" vertical="bottom" wrapText="0"/>
    </xf>
    <xf borderId="3" fillId="0" fontId="18" numFmtId="0" xfId="0" applyBorder="1" applyFont="1"/>
    <xf borderId="4" fillId="0" fontId="18" numFmtId="0" xfId="0" applyBorder="1" applyFont="1"/>
    <xf borderId="2" fillId="4" fontId="8" numFmtId="0" xfId="0" applyAlignment="1" applyBorder="1" applyFill="1" applyFont="1">
      <alignment horizontal="center" shrinkToFit="0" vertical="center" wrapText="0"/>
    </xf>
    <xf borderId="2" fillId="0" fontId="9" numFmtId="0" xfId="0" applyAlignment="1" applyBorder="1" applyFont="1">
      <alignment shrinkToFit="0" vertical="bottom" wrapText="0"/>
    </xf>
    <xf borderId="2" fillId="6" fontId="8" numFmtId="0" xfId="0" applyAlignment="1" applyBorder="1" applyFill="1" applyFont="1">
      <alignment horizontal="center" shrinkToFit="0" vertical="center" wrapText="0"/>
    </xf>
    <xf borderId="2" fillId="8" fontId="8" numFmtId="0" xfId="0" applyAlignment="1" applyBorder="1" applyFill="1" applyFont="1">
      <alignment horizontal="center" shrinkToFit="0" vertical="center" wrapText="0"/>
    </xf>
    <xf borderId="2" fillId="9" fontId="3" numFmtId="0" xfId="0" applyAlignment="1" applyBorder="1" applyFill="1" applyFont="1">
      <alignment horizontal="center" shrinkToFit="0" vertical="center" wrapText="0"/>
    </xf>
    <xf borderId="2" fillId="10" fontId="8" numFmtId="0" xfId="0" applyAlignment="1" applyBorder="1" applyFill="1" applyFont="1">
      <alignment horizontal="center" shrinkToFit="0" vertical="center" wrapText="0"/>
    </xf>
    <xf borderId="2" fillId="0" fontId="17" numFmtId="0" xfId="0" applyAlignment="1" applyBorder="1" applyFont="1">
      <alignment horizontal="center" shrinkToFit="0" vertical="center" wrapText="0"/>
    </xf>
    <xf borderId="2" fillId="7" fontId="19" numFmtId="0" xfId="0" applyBorder="1" applyFill="1" applyFont="1"/>
  </cellXfs>
  <cellStyles count="1">
    <cellStyle xfId="0" name="Normal" builtinId="0"/>
  </cellStyles>
  <dxfs count="6">
    <dxf>
      <font>
        <b/>
        <color rgb="FF006100"/>
        <name val="Arial"/>
      </font>
      <fill>
        <patternFill patternType="solid">
          <fgColor rgb="FFC6EFCE"/>
          <bgColor rgb="FFC6EFCE"/>
        </patternFill>
      </fill>
      <border/>
    </dxf>
    <dxf>
      <font>
        <b/>
        <color rgb="FF1F3864"/>
        <name val="Arial"/>
      </font>
      <fill>
        <patternFill patternType="solid">
          <fgColor rgb="FFBDD7EE"/>
          <bgColor rgb="FFBDD7EE"/>
        </patternFill>
      </fill>
      <border/>
    </dxf>
    <dxf>
      <font>
        <b/>
        <color rgb="FF3F3151"/>
        <name val="Arial"/>
      </font>
      <fill>
        <patternFill patternType="solid">
          <fgColor rgb="FFD9D2E9"/>
          <bgColor rgb="FFD9D2E9"/>
        </patternFill>
      </fill>
      <border/>
    </dxf>
    <dxf>
      <font>
        <b/>
        <color rgb="FFFFFFFF"/>
        <name val="Arial"/>
      </font>
      <fill>
        <patternFill patternType="solid">
          <fgColor rgb="FFC00000"/>
          <bgColor rgb="FFC00000"/>
        </patternFill>
      </fill>
      <border/>
    </dxf>
    <dxf>
      <font>
        <b/>
        <color rgb="FF404040"/>
        <name val="Arial"/>
      </font>
      <fill>
        <patternFill patternType="solid">
          <fgColor rgb="FFD9D9D9"/>
          <bgColor rgb="FFD9D9D9"/>
        </patternFill>
      </fill>
      <border/>
    </dxf>
    <dxf>
      <font>
        <b/>
        <color rgb="FF7F6000"/>
        <name val="Arial"/>
      </font>
      <fill>
        <patternFill patternType="solid">
          <fgColor rgb="FFFFE699"/>
          <bgColor rgb="FFFFE6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45" width="4.57"/>
  </cols>
  <sheetData>
    <row r="1" ht="150.0" customHeight="1">
      <c r="A1" s="1" t="s">
        <v>2</v>
      </c>
      <c r="B1" s="6" t="s">
        <v>5</v>
      </c>
      <c r="C1" s="6" t="s">
        <v>12</v>
      </c>
      <c r="D1" s="6" t="s">
        <v>14</v>
      </c>
      <c r="E1" s="6" t="s">
        <v>18</v>
      </c>
      <c r="F1" s="6" t="s">
        <v>20</v>
      </c>
      <c r="G1" s="6" t="s">
        <v>21</v>
      </c>
      <c r="H1" s="6" t="s">
        <v>23</v>
      </c>
      <c r="I1" s="6" t="s">
        <v>25</v>
      </c>
      <c r="J1" s="6" t="s">
        <v>27</v>
      </c>
      <c r="K1" s="6" t="s">
        <v>31</v>
      </c>
      <c r="L1" s="6" t="s">
        <v>34</v>
      </c>
      <c r="M1" s="6" t="s">
        <v>37</v>
      </c>
      <c r="N1" s="6" t="s">
        <v>39</v>
      </c>
      <c r="O1" s="6" t="s">
        <v>41</v>
      </c>
      <c r="P1" s="6" t="s">
        <v>30</v>
      </c>
      <c r="Q1" s="6" t="s">
        <v>44</v>
      </c>
      <c r="R1" s="6" t="s">
        <v>45</v>
      </c>
      <c r="S1" s="6" t="s">
        <v>36</v>
      </c>
      <c r="T1" s="6" t="s">
        <v>46</v>
      </c>
      <c r="U1" s="6" t="s">
        <v>48</v>
      </c>
      <c r="V1" s="6" t="s">
        <v>50</v>
      </c>
      <c r="W1" s="6" t="s">
        <v>51</v>
      </c>
      <c r="X1" s="6" t="s">
        <v>52</v>
      </c>
      <c r="Y1" s="6" t="s">
        <v>53</v>
      </c>
      <c r="Z1" s="6" t="s">
        <v>55</v>
      </c>
      <c r="AA1" s="6" t="s">
        <v>57</v>
      </c>
      <c r="AB1" s="6" t="s">
        <v>59</v>
      </c>
      <c r="AC1" s="6" t="s">
        <v>60</v>
      </c>
      <c r="AD1" s="6" t="s">
        <v>62</v>
      </c>
      <c r="AE1" s="6" t="s">
        <v>63</v>
      </c>
      <c r="AF1" s="6" t="s">
        <v>64</v>
      </c>
      <c r="AG1" s="6" t="s">
        <v>66</v>
      </c>
      <c r="AH1" s="6" t="s">
        <v>67</v>
      </c>
      <c r="AI1" s="6" t="s">
        <v>70</v>
      </c>
      <c r="AJ1" s="6" t="s">
        <v>42</v>
      </c>
      <c r="AK1" s="6" t="s">
        <v>72</v>
      </c>
      <c r="AL1" s="6" t="s">
        <v>16</v>
      </c>
      <c r="AM1" s="6" t="s">
        <v>74</v>
      </c>
      <c r="AN1" s="6" t="s">
        <v>68</v>
      </c>
      <c r="AO1" s="6" t="s">
        <v>78</v>
      </c>
      <c r="AP1" s="6" t="s">
        <v>76</v>
      </c>
      <c r="AQ1" s="6" t="s">
        <v>80</v>
      </c>
      <c r="AR1" s="6" t="s">
        <v>81</v>
      </c>
      <c r="AS1" s="6" t="s">
        <v>24</v>
      </c>
    </row>
    <row r="2" ht="15.75" customHeight="1">
      <c r="A2" s="12" t="s">
        <v>5</v>
      </c>
      <c r="B2" s="16"/>
      <c r="C2" s="19" t="s">
        <v>88</v>
      </c>
      <c r="D2" s="20"/>
      <c r="E2" s="21" t="s">
        <v>99</v>
      </c>
      <c r="F2" s="22" t="s">
        <v>13</v>
      </c>
      <c r="G2" s="22" t="s">
        <v>13</v>
      </c>
      <c r="H2" s="22" t="s">
        <v>13</v>
      </c>
      <c r="I2" s="22" t="s">
        <v>13</v>
      </c>
      <c r="J2" s="24" t="s">
        <v>97</v>
      </c>
      <c r="K2" s="22" t="s">
        <v>13</v>
      </c>
      <c r="L2" s="22" t="s">
        <v>13</v>
      </c>
      <c r="M2" s="22" t="s">
        <v>13</v>
      </c>
      <c r="N2" s="22" t="s">
        <v>13</v>
      </c>
      <c r="O2" s="22" t="s">
        <v>13</v>
      </c>
      <c r="P2" s="20"/>
      <c r="Q2" s="22" t="s">
        <v>13</v>
      </c>
      <c r="R2" s="20"/>
      <c r="S2" s="22" t="s">
        <v>13</v>
      </c>
      <c r="T2" s="22" t="s">
        <v>13</v>
      </c>
      <c r="U2" s="20"/>
      <c r="V2" s="20"/>
      <c r="W2" s="22" t="s">
        <v>13</v>
      </c>
      <c r="X2" s="22" t="s">
        <v>13</v>
      </c>
      <c r="Y2" s="20"/>
      <c r="Z2" s="20"/>
      <c r="AA2" s="22" t="s">
        <v>13</v>
      </c>
      <c r="AB2" s="22" t="s">
        <v>13</v>
      </c>
      <c r="AC2" s="22" t="s">
        <v>13</v>
      </c>
      <c r="AD2" s="22" t="s">
        <v>13</v>
      </c>
      <c r="AE2" s="20"/>
      <c r="AF2" s="20"/>
      <c r="AG2" s="21" t="s">
        <v>99</v>
      </c>
      <c r="AH2" s="20"/>
      <c r="AI2" s="22" t="s">
        <v>13</v>
      </c>
      <c r="AJ2" s="19" t="s">
        <v>88</v>
      </c>
      <c r="AK2" s="19" t="s">
        <v>88</v>
      </c>
      <c r="AL2" s="27" t="s">
        <v>101</v>
      </c>
      <c r="AM2" s="20"/>
      <c r="AN2" s="22" t="s">
        <v>13</v>
      </c>
      <c r="AO2" s="22" t="s">
        <v>13</v>
      </c>
      <c r="AP2" s="22" t="s">
        <v>13</v>
      </c>
      <c r="AQ2" s="20"/>
      <c r="AR2" s="22" t="s">
        <v>13</v>
      </c>
      <c r="AS2" s="27" t="s">
        <v>101</v>
      </c>
    </row>
    <row r="3" ht="15.75" customHeight="1">
      <c r="A3" s="28" t="s">
        <v>12</v>
      </c>
      <c r="B3" s="19" t="s">
        <v>88</v>
      </c>
      <c r="C3" s="16"/>
      <c r="D3" s="21" t="s">
        <v>99</v>
      </c>
      <c r="E3" s="21" t="s">
        <v>99</v>
      </c>
      <c r="F3" s="19" t="s">
        <v>88</v>
      </c>
      <c r="G3" s="19" t="s">
        <v>88</v>
      </c>
      <c r="H3" s="21" t="s">
        <v>99</v>
      </c>
      <c r="I3" s="19" t="s">
        <v>88</v>
      </c>
      <c r="J3" s="20"/>
      <c r="K3" s="22" t="s">
        <v>13</v>
      </c>
      <c r="L3" s="20"/>
      <c r="M3" s="19" t="s">
        <v>88</v>
      </c>
      <c r="N3" s="19" t="s">
        <v>88</v>
      </c>
      <c r="O3" s="20"/>
      <c r="P3" s="27" t="s">
        <v>103</v>
      </c>
      <c r="Q3" s="19" t="s">
        <v>88</v>
      </c>
      <c r="R3" s="20"/>
      <c r="S3" s="27" t="s">
        <v>103</v>
      </c>
      <c r="T3" s="21" t="s">
        <v>99</v>
      </c>
      <c r="U3" s="19" t="s">
        <v>88</v>
      </c>
      <c r="V3" s="19" t="s">
        <v>88</v>
      </c>
      <c r="W3" s="19" t="s">
        <v>88</v>
      </c>
      <c r="X3" s="19" t="s">
        <v>88</v>
      </c>
      <c r="Y3" s="21" t="s">
        <v>99</v>
      </c>
      <c r="Z3" s="20"/>
      <c r="AA3" s="20"/>
      <c r="AB3" s="19" t="s">
        <v>88</v>
      </c>
      <c r="AC3" s="19" t="s">
        <v>88</v>
      </c>
      <c r="AD3" s="19" t="s">
        <v>88</v>
      </c>
      <c r="AE3" s="20"/>
      <c r="AF3" s="20"/>
      <c r="AG3" s="20"/>
      <c r="AH3" s="20"/>
      <c r="AI3" s="19" t="s">
        <v>88</v>
      </c>
      <c r="AJ3" s="27" t="s">
        <v>103</v>
      </c>
      <c r="AK3" s="19" t="s">
        <v>88</v>
      </c>
      <c r="AL3" s="21" t="s">
        <v>99</v>
      </c>
      <c r="AM3" s="21" t="s">
        <v>99</v>
      </c>
      <c r="AN3" s="19" t="s">
        <v>88</v>
      </c>
      <c r="AO3" s="20"/>
      <c r="AP3" s="20"/>
      <c r="AQ3" s="20"/>
      <c r="AR3" s="19" t="s">
        <v>88</v>
      </c>
      <c r="AS3" s="19" t="s">
        <v>88</v>
      </c>
    </row>
    <row r="4" ht="15.75" customHeight="1">
      <c r="A4" s="12" t="s">
        <v>14</v>
      </c>
      <c r="B4" s="20"/>
      <c r="C4" s="21" t="s">
        <v>99</v>
      </c>
      <c r="D4" s="16"/>
      <c r="E4" s="20"/>
      <c r="F4" s="20"/>
      <c r="G4" s="20"/>
      <c r="H4" s="20"/>
      <c r="I4" s="20"/>
      <c r="J4" s="20"/>
      <c r="K4" s="20"/>
      <c r="L4" s="22" t="s">
        <v>13</v>
      </c>
      <c r="M4" s="22" t="s">
        <v>13</v>
      </c>
      <c r="N4" s="22" t="s">
        <v>13</v>
      </c>
      <c r="O4" s="20"/>
      <c r="P4" s="22" t="s">
        <v>13</v>
      </c>
      <c r="Q4" s="22" t="s">
        <v>13</v>
      </c>
      <c r="R4" s="20"/>
      <c r="S4" s="22" t="s">
        <v>13</v>
      </c>
      <c r="T4" s="20"/>
      <c r="U4" s="20"/>
      <c r="V4" s="20"/>
      <c r="W4" s="20"/>
      <c r="X4" s="20"/>
      <c r="Y4" s="20"/>
      <c r="Z4" s="20"/>
      <c r="AA4" s="20"/>
      <c r="AB4" s="22" t="s">
        <v>13</v>
      </c>
      <c r="AC4" s="22" t="s">
        <v>13</v>
      </c>
      <c r="AD4" s="22" t="s">
        <v>13</v>
      </c>
      <c r="AE4" s="20"/>
      <c r="AF4" s="20"/>
      <c r="AG4" s="20"/>
      <c r="AH4" s="20"/>
      <c r="AI4" s="22" t="s">
        <v>13</v>
      </c>
      <c r="AJ4" s="19" t="s">
        <v>88</v>
      </c>
      <c r="AK4" s="19" t="s">
        <v>88</v>
      </c>
      <c r="AL4" s="20"/>
      <c r="AM4" s="20"/>
      <c r="AN4" s="20"/>
      <c r="AO4" s="20"/>
      <c r="AP4" s="20"/>
      <c r="AQ4" s="20"/>
      <c r="AR4" s="20"/>
      <c r="AS4" s="22" t="s">
        <v>13</v>
      </c>
    </row>
    <row r="5" ht="15.75" customHeight="1">
      <c r="A5" s="28" t="s">
        <v>18</v>
      </c>
      <c r="B5" s="21" t="s">
        <v>99</v>
      </c>
      <c r="C5" s="21" t="s">
        <v>99</v>
      </c>
      <c r="D5" s="20"/>
      <c r="E5" s="16"/>
      <c r="F5" s="21" t="s">
        <v>99</v>
      </c>
      <c r="G5" s="20"/>
      <c r="H5" s="20"/>
      <c r="I5" s="21" t="s">
        <v>99</v>
      </c>
      <c r="J5" s="20"/>
      <c r="K5" s="22" t="s">
        <v>13</v>
      </c>
      <c r="L5" s="22" t="s">
        <v>13</v>
      </c>
      <c r="M5" s="21" t="s">
        <v>99</v>
      </c>
      <c r="N5" s="21" t="s">
        <v>99</v>
      </c>
      <c r="O5" s="20"/>
      <c r="P5" s="22" t="s">
        <v>13</v>
      </c>
      <c r="Q5" s="22" t="s">
        <v>13</v>
      </c>
      <c r="R5" s="20"/>
      <c r="S5" s="22" t="s">
        <v>13</v>
      </c>
      <c r="T5" s="22" t="s">
        <v>13</v>
      </c>
      <c r="U5" s="22" t="s">
        <v>13</v>
      </c>
      <c r="V5" s="21" t="s">
        <v>99</v>
      </c>
      <c r="W5" s="21" t="s">
        <v>99</v>
      </c>
      <c r="X5" s="21" t="s">
        <v>99</v>
      </c>
      <c r="Y5" s="22" t="s">
        <v>13</v>
      </c>
      <c r="Z5" s="20"/>
      <c r="AA5" s="22" t="s">
        <v>13</v>
      </c>
      <c r="AB5" s="21" t="s">
        <v>99</v>
      </c>
      <c r="AC5" s="22" t="s">
        <v>13</v>
      </c>
      <c r="AD5" s="22" t="s">
        <v>13</v>
      </c>
      <c r="AE5" s="21" t="s">
        <v>99</v>
      </c>
      <c r="AF5" s="21" t="s">
        <v>99</v>
      </c>
      <c r="AG5" s="20"/>
      <c r="AH5" s="21" t="s">
        <v>99</v>
      </c>
      <c r="AI5" s="22" t="s">
        <v>13</v>
      </c>
      <c r="AJ5" s="20"/>
      <c r="AK5" s="21" t="s">
        <v>99</v>
      </c>
      <c r="AL5" s="21" t="s">
        <v>99</v>
      </c>
      <c r="AM5" s="20"/>
      <c r="AN5" s="22" t="s">
        <v>13</v>
      </c>
      <c r="AO5" s="22" t="s">
        <v>13</v>
      </c>
      <c r="AP5" s="22" t="s">
        <v>13</v>
      </c>
      <c r="AQ5" s="21" t="s">
        <v>99</v>
      </c>
      <c r="AR5" s="20"/>
      <c r="AS5" s="21" t="s">
        <v>99</v>
      </c>
    </row>
    <row r="6" ht="15.75" customHeight="1">
      <c r="A6" s="12" t="s">
        <v>20</v>
      </c>
      <c r="B6" s="22" t="s">
        <v>13</v>
      </c>
      <c r="C6" s="19" t="s">
        <v>88</v>
      </c>
      <c r="D6" s="20"/>
      <c r="E6" s="21" t="s">
        <v>99</v>
      </c>
      <c r="F6" s="16"/>
      <c r="G6" s="22" t="s">
        <v>13</v>
      </c>
      <c r="H6" s="20"/>
      <c r="I6" s="20"/>
      <c r="J6" s="20"/>
      <c r="K6" s="20"/>
      <c r="L6" s="20"/>
      <c r="M6" s="27" t="s">
        <v>101</v>
      </c>
      <c r="N6" s="22" t="s">
        <v>13</v>
      </c>
      <c r="O6" s="20"/>
      <c r="P6" s="20"/>
      <c r="Q6" s="20"/>
      <c r="R6" s="20"/>
      <c r="S6" s="22" t="s">
        <v>13</v>
      </c>
      <c r="T6" s="22" t="s">
        <v>13</v>
      </c>
      <c r="U6" s="20"/>
      <c r="V6" s="20"/>
      <c r="W6" s="20"/>
      <c r="X6" s="20"/>
      <c r="Y6" s="21" t="s">
        <v>99</v>
      </c>
      <c r="Z6" s="20"/>
      <c r="AA6" s="20"/>
      <c r="AB6" s="20"/>
      <c r="AC6" s="22" t="s">
        <v>13</v>
      </c>
      <c r="AD6" s="22" t="s">
        <v>13</v>
      </c>
      <c r="AE6" s="20"/>
      <c r="AF6" s="20"/>
      <c r="AG6" s="20"/>
      <c r="AH6" s="20"/>
      <c r="AI6" s="20"/>
      <c r="AJ6" s="19" t="s">
        <v>88</v>
      </c>
      <c r="AK6" s="20"/>
      <c r="AL6" s="21" t="s">
        <v>99</v>
      </c>
      <c r="AM6" s="20"/>
      <c r="AN6" s="22" t="s">
        <v>13</v>
      </c>
      <c r="AO6" s="22" t="s">
        <v>13</v>
      </c>
      <c r="AP6" s="20"/>
      <c r="AQ6" s="20"/>
      <c r="AR6" s="20"/>
      <c r="AS6" s="22" t="s">
        <v>13</v>
      </c>
    </row>
    <row r="7" ht="15.75" customHeight="1">
      <c r="A7" s="28" t="s">
        <v>21</v>
      </c>
      <c r="B7" s="22" t="s">
        <v>13</v>
      </c>
      <c r="C7" s="19" t="s">
        <v>88</v>
      </c>
      <c r="D7" s="20"/>
      <c r="E7" s="20"/>
      <c r="F7" s="22" t="s">
        <v>13</v>
      </c>
      <c r="G7" s="16"/>
      <c r="H7" s="20"/>
      <c r="I7" s="22" t="s">
        <v>13</v>
      </c>
      <c r="J7" s="20"/>
      <c r="K7" s="22" t="s">
        <v>13</v>
      </c>
      <c r="L7" s="20"/>
      <c r="M7" s="27" t="s">
        <v>105</v>
      </c>
      <c r="N7" s="20"/>
      <c r="O7" s="20"/>
      <c r="P7" s="20"/>
      <c r="Q7" s="22" t="s">
        <v>13</v>
      </c>
      <c r="R7" s="20"/>
      <c r="S7" s="22" t="s">
        <v>13</v>
      </c>
      <c r="T7" s="22" t="s">
        <v>13</v>
      </c>
      <c r="U7" s="20"/>
      <c r="V7" s="20"/>
      <c r="W7" s="22" t="s">
        <v>13</v>
      </c>
      <c r="X7" s="22" t="s">
        <v>13</v>
      </c>
      <c r="Y7" s="22" t="s">
        <v>13</v>
      </c>
      <c r="Z7" s="20"/>
      <c r="AA7" s="20"/>
      <c r="AB7" s="22" t="s">
        <v>13</v>
      </c>
      <c r="AC7" s="22" t="s">
        <v>13</v>
      </c>
      <c r="AD7" s="20"/>
      <c r="AE7" s="20"/>
      <c r="AF7" s="20"/>
      <c r="AG7" s="20"/>
      <c r="AH7" s="20"/>
      <c r="AI7" s="20"/>
      <c r="AJ7" s="20"/>
      <c r="AK7" s="19" t="s">
        <v>88</v>
      </c>
      <c r="AL7" s="21" t="s">
        <v>99</v>
      </c>
      <c r="AM7" s="20"/>
      <c r="AN7" s="22" t="s">
        <v>13</v>
      </c>
      <c r="AO7" s="22" t="s">
        <v>13</v>
      </c>
      <c r="AP7" s="22" t="s">
        <v>13</v>
      </c>
      <c r="AQ7" s="20"/>
      <c r="AR7" s="20"/>
      <c r="AS7" s="22" t="s">
        <v>13</v>
      </c>
    </row>
    <row r="8" ht="15.75" customHeight="1">
      <c r="A8" s="12" t="s">
        <v>23</v>
      </c>
      <c r="B8" s="22" t="s">
        <v>13</v>
      </c>
      <c r="C8" s="21" t="s">
        <v>99</v>
      </c>
      <c r="D8" s="20"/>
      <c r="E8" s="20"/>
      <c r="F8" s="20"/>
      <c r="G8" s="20"/>
      <c r="H8" s="16"/>
      <c r="I8" s="20"/>
      <c r="J8" s="20"/>
      <c r="K8" s="22" t="s">
        <v>13</v>
      </c>
      <c r="L8" s="20"/>
      <c r="M8" s="27" t="s">
        <v>101</v>
      </c>
      <c r="N8" s="27" t="s">
        <v>101</v>
      </c>
      <c r="O8" s="20"/>
      <c r="P8" s="20"/>
      <c r="Q8" s="20"/>
      <c r="R8" s="20"/>
      <c r="S8" s="22" t="s">
        <v>13</v>
      </c>
      <c r="T8" s="20"/>
      <c r="U8" s="22" t="s">
        <v>13</v>
      </c>
      <c r="V8" s="20"/>
      <c r="W8" s="27" t="s">
        <v>101</v>
      </c>
      <c r="X8" s="20"/>
      <c r="Y8" s="20"/>
      <c r="Z8" s="20"/>
      <c r="AA8" s="20"/>
      <c r="AB8" s="21" t="s">
        <v>99</v>
      </c>
      <c r="AC8" s="22" t="s">
        <v>13</v>
      </c>
      <c r="AD8" s="22" t="s">
        <v>13</v>
      </c>
      <c r="AE8" s="20"/>
      <c r="AF8" s="20"/>
      <c r="AG8" s="21" t="s">
        <v>99</v>
      </c>
      <c r="AH8" s="20"/>
      <c r="AI8" s="20"/>
      <c r="AJ8" s="20"/>
      <c r="AK8" s="20"/>
      <c r="AL8" s="20"/>
      <c r="AM8" s="20"/>
      <c r="AN8" s="20"/>
      <c r="AO8" s="21" t="s">
        <v>99</v>
      </c>
      <c r="AP8" s="22" t="s">
        <v>13</v>
      </c>
      <c r="AQ8" s="20"/>
      <c r="AR8" s="20"/>
      <c r="AS8" s="20"/>
    </row>
    <row r="9" ht="15.75" customHeight="1">
      <c r="A9" s="28" t="s">
        <v>25</v>
      </c>
      <c r="B9" s="22" t="s">
        <v>13</v>
      </c>
      <c r="C9" s="19" t="s">
        <v>88</v>
      </c>
      <c r="D9" s="20"/>
      <c r="E9" s="21" t="s">
        <v>99</v>
      </c>
      <c r="F9" s="20"/>
      <c r="G9" s="22" t="s">
        <v>13</v>
      </c>
      <c r="H9" s="20"/>
      <c r="I9" s="16"/>
      <c r="J9" s="20"/>
      <c r="K9" s="22" t="s">
        <v>13</v>
      </c>
      <c r="L9" s="22" t="s">
        <v>13</v>
      </c>
      <c r="M9" s="22" t="s">
        <v>13</v>
      </c>
      <c r="N9" s="22" t="s">
        <v>13</v>
      </c>
      <c r="O9" s="22" t="s">
        <v>13</v>
      </c>
      <c r="P9" s="22" t="s">
        <v>13</v>
      </c>
      <c r="Q9" s="22" t="s">
        <v>13</v>
      </c>
      <c r="R9" s="20"/>
      <c r="S9" s="21" t="s">
        <v>99</v>
      </c>
      <c r="T9" s="22" t="s">
        <v>13</v>
      </c>
      <c r="U9" s="22" t="s">
        <v>13</v>
      </c>
      <c r="V9" s="22" t="s">
        <v>13</v>
      </c>
      <c r="W9" s="20"/>
      <c r="X9" s="20"/>
      <c r="Y9" s="22" t="s">
        <v>13</v>
      </c>
      <c r="Z9" s="20"/>
      <c r="AA9" s="20"/>
      <c r="AB9" s="22" t="s">
        <v>13</v>
      </c>
      <c r="AC9" s="22" t="s">
        <v>13</v>
      </c>
      <c r="AD9" s="22" t="s">
        <v>13</v>
      </c>
      <c r="AE9" s="20"/>
      <c r="AF9" s="20"/>
      <c r="AG9" s="20"/>
      <c r="AH9" s="20"/>
      <c r="AI9" s="22" t="s">
        <v>13</v>
      </c>
      <c r="AJ9" s="21" t="s">
        <v>99</v>
      </c>
      <c r="AK9" s="19" t="s">
        <v>88</v>
      </c>
      <c r="AL9" s="21" t="s">
        <v>99</v>
      </c>
      <c r="AM9" s="20"/>
      <c r="AN9" s="22" t="s">
        <v>13</v>
      </c>
      <c r="AO9" s="21" t="s">
        <v>99</v>
      </c>
      <c r="AP9" s="22" t="s">
        <v>13</v>
      </c>
      <c r="AQ9" s="20"/>
      <c r="AR9" s="20"/>
      <c r="AS9" s="20"/>
    </row>
    <row r="10" ht="15.75" customHeight="1">
      <c r="A10" s="12" t="s">
        <v>27</v>
      </c>
      <c r="B10" s="24" t="s">
        <v>97</v>
      </c>
      <c r="C10" s="20"/>
      <c r="D10" s="20"/>
      <c r="E10" s="20"/>
      <c r="F10" s="20"/>
      <c r="G10" s="20"/>
      <c r="H10" s="20"/>
      <c r="I10" s="20"/>
      <c r="J10" s="16"/>
      <c r="K10" s="20"/>
      <c r="L10" s="20"/>
      <c r="M10" s="22" t="s">
        <v>13</v>
      </c>
      <c r="N10" s="22" t="s">
        <v>13</v>
      </c>
      <c r="O10" s="22" t="s">
        <v>13</v>
      </c>
      <c r="P10" s="20"/>
      <c r="Q10" s="22" t="s">
        <v>13</v>
      </c>
      <c r="R10" s="20"/>
      <c r="S10" s="22" t="s">
        <v>13</v>
      </c>
      <c r="T10" s="22" t="s">
        <v>13</v>
      </c>
      <c r="U10" s="22" t="s">
        <v>13</v>
      </c>
      <c r="V10" s="24" t="s">
        <v>97</v>
      </c>
      <c r="W10" s="20"/>
      <c r="X10" s="22" t="s">
        <v>13</v>
      </c>
      <c r="Y10" s="22" t="s">
        <v>13</v>
      </c>
      <c r="Z10" s="20"/>
      <c r="AA10" s="22" t="s">
        <v>13</v>
      </c>
      <c r="AB10" s="21" t="s">
        <v>99</v>
      </c>
      <c r="AC10" s="20"/>
      <c r="AD10" s="22" t="s">
        <v>13</v>
      </c>
      <c r="AE10" s="20"/>
      <c r="AF10" s="20"/>
      <c r="AG10" s="20"/>
      <c r="AH10" s="20"/>
      <c r="AI10" s="22" t="s">
        <v>13</v>
      </c>
      <c r="AJ10" s="20"/>
      <c r="AK10" s="19" t="s">
        <v>88</v>
      </c>
      <c r="AL10" s="22" t="s">
        <v>13</v>
      </c>
      <c r="AM10" s="20"/>
      <c r="AN10" s="20"/>
      <c r="AO10" s="20"/>
      <c r="AP10" s="20"/>
      <c r="AQ10" s="20"/>
      <c r="AR10" s="20"/>
      <c r="AS10" s="22" t="s">
        <v>13</v>
      </c>
    </row>
    <row r="11" ht="15.75" customHeight="1">
      <c r="A11" s="28" t="s">
        <v>31</v>
      </c>
      <c r="B11" s="22" t="s">
        <v>13</v>
      </c>
      <c r="C11" s="22" t="s">
        <v>13</v>
      </c>
      <c r="D11" s="20"/>
      <c r="E11" s="22" t="s">
        <v>13</v>
      </c>
      <c r="F11" s="20"/>
      <c r="G11" s="22" t="s">
        <v>13</v>
      </c>
      <c r="H11" s="22" t="s">
        <v>13</v>
      </c>
      <c r="I11" s="22" t="s">
        <v>13</v>
      </c>
      <c r="J11" s="20"/>
      <c r="K11" s="16"/>
      <c r="L11" s="22" t="s">
        <v>13</v>
      </c>
      <c r="M11" s="22" t="s">
        <v>13</v>
      </c>
      <c r="N11" s="22" t="s">
        <v>13</v>
      </c>
      <c r="O11" s="20"/>
      <c r="P11" s="20"/>
      <c r="Q11" s="20"/>
      <c r="R11" s="20"/>
      <c r="S11" s="22" t="s">
        <v>13</v>
      </c>
      <c r="T11" s="22" t="s">
        <v>13</v>
      </c>
      <c r="U11" s="20"/>
      <c r="V11" s="22" t="s">
        <v>13</v>
      </c>
      <c r="W11" s="20"/>
      <c r="X11" s="22" t="s">
        <v>13</v>
      </c>
      <c r="Y11" s="22" t="s">
        <v>13</v>
      </c>
      <c r="Z11" s="20"/>
      <c r="AA11" s="20"/>
      <c r="AB11" s="20"/>
      <c r="AC11" s="22" t="s">
        <v>13</v>
      </c>
      <c r="AD11" s="20"/>
      <c r="AE11" s="20"/>
      <c r="AF11" s="20"/>
      <c r="AG11" s="20"/>
      <c r="AH11" s="20"/>
      <c r="AI11" s="22" t="s">
        <v>13</v>
      </c>
      <c r="AJ11" s="22" t="s">
        <v>13</v>
      </c>
      <c r="AK11" s="22" t="s">
        <v>13</v>
      </c>
      <c r="AL11" s="20"/>
      <c r="AM11" s="27" t="s">
        <v>101</v>
      </c>
      <c r="AN11" s="22" t="s">
        <v>13</v>
      </c>
      <c r="AO11" s="22" t="s">
        <v>13</v>
      </c>
      <c r="AP11" s="22" t="s">
        <v>13</v>
      </c>
      <c r="AQ11" s="20"/>
      <c r="AR11" s="20"/>
      <c r="AS11" s="22" t="s">
        <v>13</v>
      </c>
    </row>
    <row r="12" ht="15.75" customHeight="1">
      <c r="A12" s="12" t="s">
        <v>34</v>
      </c>
      <c r="B12" s="22" t="s">
        <v>13</v>
      </c>
      <c r="C12" s="20"/>
      <c r="D12" s="22" t="s">
        <v>13</v>
      </c>
      <c r="E12" s="22" t="s">
        <v>13</v>
      </c>
      <c r="F12" s="20"/>
      <c r="G12" s="20"/>
      <c r="H12" s="20"/>
      <c r="I12" s="22" t="s">
        <v>13</v>
      </c>
      <c r="J12" s="20"/>
      <c r="K12" s="22" t="s">
        <v>13</v>
      </c>
      <c r="L12" s="16"/>
      <c r="M12" s="22" t="s">
        <v>13</v>
      </c>
      <c r="N12" s="22" t="s">
        <v>13</v>
      </c>
      <c r="O12" s="20"/>
      <c r="P12" s="20"/>
      <c r="Q12" s="22" t="s">
        <v>13</v>
      </c>
      <c r="R12" s="20"/>
      <c r="S12" s="21" t="s">
        <v>99</v>
      </c>
      <c r="T12" s="22" t="s">
        <v>13</v>
      </c>
      <c r="U12" s="21" t="s">
        <v>99</v>
      </c>
      <c r="V12" s="20"/>
      <c r="W12" s="20"/>
      <c r="X12" s="22" t="s">
        <v>13</v>
      </c>
      <c r="Y12" s="20"/>
      <c r="Z12" s="20"/>
      <c r="AA12" s="20"/>
      <c r="AB12" s="22" t="s">
        <v>13</v>
      </c>
      <c r="AC12" s="22" t="s">
        <v>13</v>
      </c>
      <c r="AD12" s="22" t="s">
        <v>13</v>
      </c>
      <c r="AE12" s="20"/>
      <c r="AF12" s="20"/>
      <c r="AG12" s="20"/>
      <c r="AH12" s="20"/>
      <c r="AI12" s="22" t="s">
        <v>13</v>
      </c>
      <c r="AJ12" s="19" t="s">
        <v>88</v>
      </c>
      <c r="AK12" s="19" t="s">
        <v>88</v>
      </c>
      <c r="AL12" s="20"/>
      <c r="AM12" s="20"/>
      <c r="AN12" s="22" t="s">
        <v>13</v>
      </c>
      <c r="AO12" s="20"/>
      <c r="AP12" s="20"/>
      <c r="AQ12" s="20"/>
      <c r="AR12" s="22" t="s">
        <v>13</v>
      </c>
      <c r="AS12" s="20"/>
    </row>
    <row r="13" ht="15.75" customHeight="1">
      <c r="A13" s="28" t="s">
        <v>37</v>
      </c>
      <c r="B13" s="22" t="s">
        <v>13</v>
      </c>
      <c r="C13" s="19" t="s">
        <v>88</v>
      </c>
      <c r="D13" s="22" t="s">
        <v>13</v>
      </c>
      <c r="E13" s="21" t="s">
        <v>99</v>
      </c>
      <c r="F13" s="27" t="s">
        <v>101</v>
      </c>
      <c r="G13" s="27" t="s">
        <v>105</v>
      </c>
      <c r="H13" s="27" t="s">
        <v>101</v>
      </c>
      <c r="I13" s="22" t="s">
        <v>13</v>
      </c>
      <c r="J13" s="22" t="s">
        <v>13</v>
      </c>
      <c r="K13" s="22" t="s">
        <v>13</v>
      </c>
      <c r="L13" s="22" t="s">
        <v>13</v>
      </c>
      <c r="M13" s="16"/>
      <c r="N13" s="22" t="s">
        <v>13</v>
      </c>
      <c r="O13" s="21" t="s">
        <v>99</v>
      </c>
      <c r="P13" s="22" t="s">
        <v>13</v>
      </c>
      <c r="Q13" s="22" t="s">
        <v>13</v>
      </c>
      <c r="R13" s="22" t="s">
        <v>13</v>
      </c>
      <c r="S13" s="21" t="s">
        <v>99</v>
      </c>
      <c r="T13" s="27" t="s">
        <v>105</v>
      </c>
      <c r="U13" s="22" t="s">
        <v>13</v>
      </c>
      <c r="V13" s="22" t="s">
        <v>13</v>
      </c>
      <c r="W13" s="22" t="s">
        <v>13</v>
      </c>
      <c r="X13" s="22" t="s">
        <v>13</v>
      </c>
      <c r="Y13" s="27" t="s">
        <v>101</v>
      </c>
      <c r="Z13" s="20"/>
      <c r="AA13" s="22" t="s">
        <v>13</v>
      </c>
      <c r="AB13" s="19" t="s">
        <v>88</v>
      </c>
      <c r="AC13" s="22" t="s">
        <v>13</v>
      </c>
      <c r="AD13" s="22" t="s">
        <v>13</v>
      </c>
      <c r="AE13" s="22" t="s">
        <v>13</v>
      </c>
      <c r="AF13" s="22" t="s">
        <v>13</v>
      </c>
      <c r="AG13" s="21" t="s">
        <v>99</v>
      </c>
      <c r="AH13" s="20"/>
      <c r="AI13" s="22" t="s">
        <v>13</v>
      </c>
      <c r="AJ13" s="19" t="s">
        <v>88</v>
      </c>
      <c r="AK13" s="19" t="s">
        <v>88</v>
      </c>
      <c r="AL13" s="21" t="s">
        <v>99</v>
      </c>
      <c r="AM13" s="20"/>
      <c r="AN13" s="27" t="s">
        <v>101</v>
      </c>
      <c r="AO13" s="22" t="s">
        <v>13</v>
      </c>
      <c r="AP13" s="22" t="s">
        <v>13</v>
      </c>
      <c r="AQ13" s="22" t="s">
        <v>13</v>
      </c>
      <c r="AR13" s="22" t="s">
        <v>13</v>
      </c>
      <c r="AS13" s="22" t="s">
        <v>13</v>
      </c>
    </row>
    <row r="14" ht="15.75" customHeight="1">
      <c r="A14" s="12" t="s">
        <v>39</v>
      </c>
      <c r="B14" s="22" t="s">
        <v>13</v>
      </c>
      <c r="C14" s="19" t="s">
        <v>88</v>
      </c>
      <c r="D14" s="22" t="s">
        <v>13</v>
      </c>
      <c r="E14" s="21" t="s">
        <v>99</v>
      </c>
      <c r="F14" s="22" t="s">
        <v>13</v>
      </c>
      <c r="G14" s="20"/>
      <c r="H14" s="27" t="s">
        <v>101</v>
      </c>
      <c r="I14" s="22" t="s">
        <v>13</v>
      </c>
      <c r="J14" s="22" t="s">
        <v>13</v>
      </c>
      <c r="K14" s="22" t="s">
        <v>13</v>
      </c>
      <c r="L14" s="22" t="s">
        <v>13</v>
      </c>
      <c r="M14" s="22" t="s">
        <v>13</v>
      </c>
      <c r="N14" s="16"/>
      <c r="O14" s="21" t="s">
        <v>99</v>
      </c>
      <c r="P14" s="20"/>
      <c r="Q14" s="22" t="s">
        <v>13</v>
      </c>
      <c r="R14" s="22" t="s">
        <v>13</v>
      </c>
      <c r="S14" s="22" t="s">
        <v>13</v>
      </c>
      <c r="T14" s="22" t="s">
        <v>13</v>
      </c>
      <c r="U14" s="22" t="s">
        <v>13</v>
      </c>
      <c r="V14" s="20"/>
      <c r="W14" s="22" t="s">
        <v>13</v>
      </c>
      <c r="X14" s="22" t="s">
        <v>13</v>
      </c>
      <c r="Y14" s="20"/>
      <c r="Z14" s="20"/>
      <c r="AA14" s="22" t="s">
        <v>13</v>
      </c>
      <c r="AB14" s="27" t="s">
        <v>103</v>
      </c>
      <c r="AC14" s="22" t="s">
        <v>13</v>
      </c>
      <c r="AD14" s="22" t="s">
        <v>13</v>
      </c>
      <c r="AE14" s="22" t="s">
        <v>13</v>
      </c>
      <c r="AF14" s="21" t="s">
        <v>99</v>
      </c>
      <c r="AG14" s="20"/>
      <c r="AH14" s="20"/>
      <c r="AI14" s="22" t="s">
        <v>13</v>
      </c>
      <c r="AJ14" s="19" t="s">
        <v>88</v>
      </c>
      <c r="AK14" s="19" t="s">
        <v>88</v>
      </c>
      <c r="AL14" s="22" t="s">
        <v>13</v>
      </c>
      <c r="AM14" s="20"/>
      <c r="AN14" s="22" t="s">
        <v>13</v>
      </c>
      <c r="AO14" s="22" t="s">
        <v>13</v>
      </c>
      <c r="AP14" s="22" t="s">
        <v>13</v>
      </c>
      <c r="AQ14" s="22" t="s">
        <v>13</v>
      </c>
      <c r="AR14" s="22" t="s">
        <v>13</v>
      </c>
      <c r="AS14" s="22" t="s">
        <v>13</v>
      </c>
    </row>
    <row r="15" ht="15.75" customHeight="1">
      <c r="A15" s="28" t="s">
        <v>41</v>
      </c>
      <c r="B15" s="22" t="s">
        <v>13</v>
      </c>
      <c r="C15" s="20"/>
      <c r="D15" s="20"/>
      <c r="E15" s="20"/>
      <c r="F15" s="20"/>
      <c r="G15" s="20"/>
      <c r="H15" s="20"/>
      <c r="I15" s="22" t="s">
        <v>13</v>
      </c>
      <c r="J15" s="22" t="s">
        <v>13</v>
      </c>
      <c r="K15" s="20"/>
      <c r="L15" s="20"/>
      <c r="M15" s="21" t="s">
        <v>99</v>
      </c>
      <c r="N15" s="21" t="s">
        <v>99</v>
      </c>
      <c r="O15" s="16"/>
      <c r="P15" s="20"/>
      <c r="Q15" s="22" t="s">
        <v>13</v>
      </c>
      <c r="R15" s="22" t="s">
        <v>13</v>
      </c>
      <c r="S15" s="22" t="s">
        <v>13</v>
      </c>
      <c r="T15" s="20"/>
      <c r="U15" s="22" t="s">
        <v>13</v>
      </c>
      <c r="V15" s="20"/>
      <c r="W15" s="20"/>
      <c r="X15" s="21" t="s">
        <v>99</v>
      </c>
      <c r="Y15" s="20"/>
      <c r="Z15" s="20"/>
      <c r="AA15" s="22" t="s">
        <v>13</v>
      </c>
      <c r="AB15" s="21" t="s">
        <v>99</v>
      </c>
      <c r="AC15" s="20"/>
      <c r="AD15" s="22" t="s">
        <v>13</v>
      </c>
      <c r="AE15" s="20"/>
      <c r="AF15" s="20"/>
      <c r="AG15" s="20"/>
      <c r="AH15" s="20"/>
      <c r="AI15" s="22" t="s">
        <v>13</v>
      </c>
      <c r="AJ15" s="20"/>
      <c r="AK15" s="20"/>
      <c r="AL15" s="20"/>
      <c r="AM15" s="20"/>
      <c r="AN15" s="20"/>
      <c r="AO15" s="20"/>
      <c r="AP15" s="20"/>
      <c r="AQ15" s="22" t="s">
        <v>13</v>
      </c>
      <c r="AR15" s="20"/>
      <c r="AS15" s="20"/>
    </row>
    <row r="16" ht="15.75" customHeight="1">
      <c r="A16" s="12" t="s">
        <v>30</v>
      </c>
      <c r="B16" s="20"/>
      <c r="C16" s="27" t="s">
        <v>103</v>
      </c>
      <c r="D16" s="22" t="s">
        <v>13</v>
      </c>
      <c r="E16" s="22" t="s">
        <v>13</v>
      </c>
      <c r="F16" s="20"/>
      <c r="G16" s="20"/>
      <c r="H16" s="20"/>
      <c r="I16" s="22" t="s">
        <v>13</v>
      </c>
      <c r="J16" s="20"/>
      <c r="K16" s="20"/>
      <c r="L16" s="20"/>
      <c r="M16" s="22" t="s">
        <v>13</v>
      </c>
      <c r="N16" s="20"/>
      <c r="O16" s="20"/>
      <c r="P16" s="16"/>
      <c r="Q16" s="20"/>
      <c r="R16" s="20"/>
      <c r="S16" s="21" t="s">
        <v>99</v>
      </c>
      <c r="T16" s="20"/>
      <c r="U16" s="20"/>
      <c r="V16" s="20"/>
      <c r="W16" s="20"/>
      <c r="X16" s="20"/>
      <c r="Y16" s="20"/>
      <c r="Z16" s="20"/>
      <c r="AA16" s="20"/>
      <c r="AB16" s="20"/>
      <c r="AC16" s="20"/>
      <c r="AD16" s="20"/>
      <c r="AE16" s="20"/>
      <c r="AF16" s="20"/>
      <c r="AG16" s="20"/>
      <c r="AH16" s="20"/>
      <c r="AI16" s="20"/>
      <c r="AJ16" s="20"/>
      <c r="AK16" s="20"/>
      <c r="AL16" s="20"/>
      <c r="AM16" s="20"/>
      <c r="AN16" s="20"/>
      <c r="AO16" s="22" t="s">
        <v>13</v>
      </c>
      <c r="AP16" s="22" t="s">
        <v>13</v>
      </c>
      <c r="AQ16" s="20"/>
      <c r="AR16" s="20"/>
      <c r="AS16" s="20"/>
    </row>
    <row r="17" ht="15.75" customHeight="1">
      <c r="A17" s="28" t="s">
        <v>44</v>
      </c>
      <c r="B17" s="22" t="s">
        <v>13</v>
      </c>
      <c r="C17" s="19" t="s">
        <v>88</v>
      </c>
      <c r="D17" s="22" t="s">
        <v>13</v>
      </c>
      <c r="E17" s="22" t="s">
        <v>13</v>
      </c>
      <c r="F17" s="20"/>
      <c r="G17" s="22" t="s">
        <v>13</v>
      </c>
      <c r="H17" s="20"/>
      <c r="I17" s="22" t="s">
        <v>13</v>
      </c>
      <c r="J17" s="22" t="s">
        <v>13</v>
      </c>
      <c r="K17" s="20"/>
      <c r="L17" s="22" t="s">
        <v>13</v>
      </c>
      <c r="M17" s="22" t="s">
        <v>13</v>
      </c>
      <c r="N17" s="22" t="s">
        <v>13</v>
      </c>
      <c r="O17" s="22" t="s">
        <v>13</v>
      </c>
      <c r="P17" s="20"/>
      <c r="Q17" s="16"/>
      <c r="R17" s="20"/>
      <c r="S17" s="22" t="s">
        <v>13</v>
      </c>
      <c r="T17" s="22" t="s">
        <v>13</v>
      </c>
      <c r="U17" s="20"/>
      <c r="V17" s="20"/>
      <c r="W17" s="22" t="s">
        <v>13</v>
      </c>
      <c r="X17" s="22" t="s">
        <v>13</v>
      </c>
      <c r="Y17" s="20"/>
      <c r="Z17" s="20"/>
      <c r="AA17" s="20"/>
      <c r="AB17" s="22" t="s">
        <v>13</v>
      </c>
      <c r="AC17" s="22" t="s">
        <v>13</v>
      </c>
      <c r="AD17" s="22" t="s">
        <v>13</v>
      </c>
      <c r="AE17" s="22" t="s">
        <v>13</v>
      </c>
      <c r="AF17" s="22" t="s">
        <v>13</v>
      </c>
      <c r="AG17" s="21" t="s">
        <v>99</v>
      </c>
      <c r="AH17" s="20"/>
      <c r="AI17" s="22" t="s">
        <v>13</v>
      </c>
      <c r="AJ17" s="20"/>
      <c r="AK17" s="19" t="s">
        <v>88</v>
      </c>
      <c r="AL17" s="22" t="s">
        <v>13</v>
      </c>
      <c r="AM17" s="20"/>
      <c r="AN17" s="22" t="s">
        <v>13</v>
      </c>
      <c r="AO17" s="22" t="s">
        <v>13</v>
      </c>
      <c r="AP17" s="27" t="s">
        <v>101</v>
      </c>
      <c r="AQ17" s="20"/>
      <c r="AR17" s="22" t="s">
        <v>13</v>
      </c>
      <c r="AS17" s="20"/>
    </row>
    <row r="18" ht="15.75" customHeight="1">
      <c r="A18" s="12" t="s">
        <v>45</v>
      </c>
      <c r="B18" s="20"/>
      <c r="C18" s="20"/>
      <c r="D18" s="20"/>
      <c r="E18" s="20"/>
      <c r="F18" s="20"/>
      <c r="G18" s="20"/>
      <c r="H18" s="20"/>
      <c r="I18" s="20"/>
      <c r="J18" s="20"/>
      <c r="K18" s="20"/>
      <c r="L18" s="20"/>
      <c r="M18" s="22" t="s">
        <v>13</v>
      </c>
      <c r="N18" s="22" t="s">
        <v>13</v>
      </c>
      <c r="O18" s="22" t="s">
        <v>13</v>
      </c>
      <c r="P18" s="20"/>
      <c r="Q18" s="20"/>
      <c r="R18" s="16"/>
      <c r="S18" s="20"/>
      <c r="T18" s="22" t="s">
        <v>13</v>
      </c>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row>
    <row r="19" ht="15.75" customHeight="1">
      <c r="A19" s="28" t="s">
        <v>36</v>
      </c>
      <c r="B19" s="22" t="s">
        <v>13</v>
      </c>
      <c r="C19" s="27" t="s">
        <v>103</v>
      </c>
      <c r="D19" s="22" t="s">
        <v>13</v>
      </c>
      <c r="E19" s="22" t="s">
        <v>13</v>
      </c>
      <c r="F19" s="22" t="s">
        <v>13</v>
      </c>
      <c r="G19" s="22" t="s">
        <v>13</v>
      </c>
      <c r="H19" s="22" t="s">
        <v>13</v>
      </c>
      <c r="I19" s="21" t="s">
        <v>99</v>
      </c>
      <c r="J19" s="22" t="s">
        <v>13</v>
      </c>
      <c r="K19" s="22" t="s">
        <v>13</v>
      </c>
      <c r="L19" s="21" t="s">
        <v>99</v>
      </c>
      <c r="M19" s="21" t="s">
        <v>99</v>
      </c>
      <c r="N19" s="22" t="s">
        <v>13</v>
      </c>
      <c r="O19" s="22" t="s">
        <v>13</v>
      </c>
      <c r="P19" s="21" t="s">
        <v>99</v>
      </c>
      <c r="Q19" s="22" t="s">
        <v>13</v>
      </c>
      <c r="R19" s="20"/>
      <c r="S19" s="16"/>
      <c r="T19" s="22" t="s">
        <v>13</v>
      </c>
      <c r="U19" s="22" t="s">
        <v>13</v>
      </c>
      <c r="V19" s="21" t="s">
        <v>99</v>
      </c>
      <c r="W19" s="21" t="s">
        <v>99</v>
      </c>
      <c r="X19" s="21" t="s">
        <v>99</v>
      </c>
      <c r="Y19" s="21" t="s">
        <v>99</v>
      </c>
      <c r="Z19" s="20"/>
      <c r="AA19" s="22" t="s">
        <v>13</v>
      </c>
      <c r="AB19" s="21" t="s">
        <v>99</v>
      </c>
      <c r="AC19" s="21" t="s">
        <v>99</v>
      </c>
      <c r="AD19" s="21" t="s">
        <v>99</v>
      </c>
      <c r="AE19" s="21" t="s">
        <v>99</v>
      </c>
      <c r="AF19" s="22" t="s">
        <v>13</v>
      </c>
      <c r="AG19" s="20"/>
      <c r="AH19" s="20"/>
      <c r="AI19" s="22" t="s">
        <v>13</v>
      </c>
      <c r="AJ19" s="19" t="s">
        <v>88</v>
      </c>
      <c r="AK19" s="19" t="s">
        <v>88</v>
      </c>
      <c r="AL19" s="22" t="s">
        <v>13</v>
      </c>
      <c r="AM19" s="20"/>
      <c r="AN19" s="22" t="s">
        <v>13</v>
      </c>
      <c r="AO19" s="22" t="s">
        <v>13</v>
      </c>
      <c r="AP19" s="22" t="s">
        <v>13</v>
      </c>
      <c r="AQ19" s="20"/>
      <c r="AR19" s="21" t="s">
        <v>99</v>
      </c>
      <c r="AS19" s="21" t="s">
        <v>99</v>
      </c>
    </row>
    <row r="20" ht="15.75" customHeight="1">
      <c r="A20" s="12" t="s">
        <v>46</v>
      </c>
      <c r="B20" s="22" t="s">
        <v>13</v>
      </c>
      <c r="C20" s="21" t="s">
        <v>99</v>
      </c>
      <c r="D20" s="20"/>
      <c r="E20" s="22" t="s">
        <v>13</v>
      </c>
      <c r="F20" s="22" t="s">
        <v>13</v>
      </c>
      <c r="G20" s="22" t="s">
        <v>13</v>
      </c>
      <c r="H20" s="20"/>
      <c r="I20" s="22" t="s">
        <v>13</v>
      </c>
      <c r="J20" s="22" t="s">
        <v>13</v>
      </c>
      <c r="K20" s="22" t="s">
        <v>13</v>
      </c>
      <c r="L20" s="22" t="s">
        <v>13</v>
      </c>
      <c r="M20" s="27" t="s">
        <v>105</v>
      </c>
      <c r="N20" s="22" t="s">
        <v>13</v>
      </c>
      <c r="O20" s="20"/>
      <c r="P20" s="20"/>
      <c r="Q20" s="22" t="s">
        <v>13</v>
      </c>
      <c r="R20" s="22" t="s">
        <v>13</v>
      </c>
      <c r="S20" s="22" t="s">
        <v>13</v>
      </c>
      <c r="T20" s="16"/>
      <c r="U20" s="22" t="s">
        <v>13</v>
      </c>
      <c r="V20" s="22" t="s">
        <v>13</v>
      </c>
      <c r="W20" s="21" t="s">
        <v>99</v>
      </c>
      <c r="X20" s="22" t="s">
        <v>13</v>
      </c>
      <c r="Y20" s="22" t="s">
        <v>13</v>
      </c>
      <c r="Z20" s="20"/>
      <c r="AA20" s="22" t="s">
        <v>13</v>
      </c>
      <c r="AB20" s="22" t="s">
        <v>13</v>
      </c>
      <c r="AC20" s="22" t="s">
        <v>13</v>
      </c>
      <c r="AD20" s="22" t="s">
        <v>13</v>
      </c>
      <c r="AE20" s="22" t="s">
        <v>13</v>
      </c>
      <c r="AF20" s="21" t="s">
        <v>99</v>
      </c>
      <c r="AG20" s="20"/>
      <c r="AH20" s="22" t="s">
        <v>13</v>
      </c>
      <c r="AI20" s="22" t="s">
        <v>13</v>
      </c>
      <c r="AJ20" s="19" t="s">
        <v>88</v>
      </c>
      <c r="AK20" s="19" t="s">
        <v>88</v>
      </c>
      <c r="AL20" s="21" t="s">
        <v>99</v>
      </c>
      <c r="AM20" s="20"/>
      <c r="AN20" s="22" t="s">
        <v>13</v>
      </c>
      <c r="AO20" s="22" t="s">
        <v>13</v>
      </c>
      <c r="AP20" s="22" t="s">
        <v>13</v>
      </c>
      <c r="AQ20" s="20"/>
      <c r="AR20" s="22" t="s">
        <v>13</v>
      </c>
      <c r="AS20" s="27" t="s">
        <v>101</v>
      </c>
    </row>
    <row r="21" ht="15.75" customHeight="1">
      <c r="A21" s="28" t="s">
        <v>48</v>
      </c>
      <c r="B21" s="20"/>
      <c r="C21" s="19" t="s">
        <v>88</v>
      </c>
      <c r="D21" s="20"/>
      <c r="E21" s="22" t="s">
        <v>13</v>
      </c>
      <c r="F21" s="20"/>
      <c r="G21" s="20"/>
      <c r="H21" s="22" t="s">
        <v>13</v>
      </c>
      <c r="I21" s="22" t="s">
        <v>13</v>
      </c>
      <c r="J21" s="22" t="s">
        <v>13</v>
      </c>
      <c r="K21" s="20"/>
      <c r="L21" s="21" t="s">
        <v>99</v>
      </c>
      <c r="M21" s="22" t="s">
        <v>13</v>
      </c>
      <c r="N21" s="22" t="s">
        <v>13</v>
      </c>
      <c r="O21" s="22" t="s">
        <v>13</v>
      </c>
      <c r="P21" s="20"/>
      <c r="Q21" s="20"/>
      <c r="R21" s="20"/>
      <c r="S21" s="22" t="s">
        <v>13</v>
      </c>
      <c r="T21" s="22" t="s">
        <v>13</v>
      </c>
      <c r="U21" s="16"/>
      <c r="V21" s="20"/>
      <c r="W21" s="21" t="s">
        <v>99</v>
      </c>
      <c r="X21" s="21" t="s">
        <v>99</v>
      </c>
      <c r="Y21" s="22" t="s">
        <v>13</v>
      </c>
      <c r="Z21" s="20"/>
      <c r="AA21" s="22" t="s">
        <v>13</v>
      </c>
      <c r="AB21" s="22" t="s">
        <v>13</v>
      </c>
      <c r="AC21" s="22" t="s">
        <v>13</v>
      </c>
      <c r="AD21" s="22" t="s">
        <v>13</v>
      </c>
      <c r="AE21" s="22" t="s">
        <v>13</v>
      </c>
      <c r="AF21" s="22" t="s">
        <v>13</v>
      </c>
      <c r="AG21" s="21" t="s">
        <v>99</v>
      </c>
      <c r="AH21" s="20"/>
      <c r="AI21" s="22" t="s">
        <v>13</v>
      </c>
      <c r="AJ21" s="19" t="s">
        <v>88</v>
      </c>
      <c r="AK21" s="22" t="s">
        <v>13</v>
      </c>
      <c r="AL21" s="22" t="s">
        <v>13</v>
      </c>
      <c r="AM21" s="20"/>
      <c r="AN21" s="22" t="s">
        <v>13</v>
      </c>
      <c r="AO21" s="22" t="s">
        <v>13</v>
      </c>
      <c r="AP21" s="20"/>
      <c r="AQ21" s="20"/>
      <c r="AR21" s="20"/>
      <c r="AS21" s="20"/>
    </row>
    <row r="22" ht="15.75" customHeight="1">
      <c r="A22" s="12" t="s">
        <v>50</v>
      </c>
      <c r="B22" s="20"/>
      <c r="C22" s="19" t="s">
        <v>88</v>
      </c>
      <c r="D22" s="20"/>
      <c r="E22" s="21" t="s">
        <v>99</v>
      </c>
      <c r="F22" s="20"/>
      <c r="G22" s="20"/>
      <c r="H22" s="20"/>
      <c r="I22" s="22" t="s">
        <v>13</v>
      </c>
      <c r="J22" s="24" t="s">
        <v>97</v>
      </c>
      <c r="K22" s="22" t="s">
        <v>13</v>
      </c>
      <c r="L22" s="20"/>
      <c r="M22" s="22" t="s">
        <v>13</v>
      </c>
      <c r="N22" s="20"/>
      <c r="O22" s="20"/>
      <c r="P22" s="20"/>
      <c r="Q22" s="20"/>
      <c r="R22" s="20"/>
      <c r="S22" s="21" t="s">
        <v>99</v>
      </c>
      <c r="T22" s="22" t="s">
        <v>13</v>
      </c>
      <c r="U22" s="20"/>
      <c r="V22" s="16"/>
      <c r="W22" s="20"/>
      <c r="X22" s="20"/>
      <c r="Y22" s="27" t="s">
        <v>101</v>
      </c>
      <c r="Z22" s="20"/>
      <c r="AA22" s="20"/>
      <c r="AB22" s="20"/>
      <c r="AC22" s="22" t="s">
        <v>13</v>
      </c>
      <c r="AD22" s="20"/>
      <c r="AE22" s="22" t="s">
        <v>13</v>
      </c>
      <c r="AF22" s="22" t="s">
        <v>13</v>
      </c>
      <c r="AG22" s="20"/>
      <c r="AH22" s="20"/>
      <c r="AI22" s="20"/>
      <c r="AJ22" s="19" t="s">
        <v>88</v>
      </c>
      <c r="AK22" s="20"/>
      <c r="AL22" s="21" t="s">
        <v>99</v>
      </c>
      <c r="AM22" s="20"/>
      <c r="AN22" s="27" t="s">
        <v>101</v>
      </c>
      <c r="AO22" s="22" t="s">
        <v>13</v>
      </c>
      <c r="AP22" s="22" t="s">
        <v>13</v>
      </c>
      <c r="AQ22" s="20"/>
      <c r="AR22" s="27" t="s">
        <v>103</v>
      </c>
      <c r="AS22" s="27" t="s">
        <v>101</v>
      </c>
    </row>
    <row r="23" ht="15.75" customHeight="1">
      <c r="A23" s="28" t="s">
        <v>51</v>
      </c>
      <c r="B23" s="22" t="s">
        <v>13</v>
      </c>
      <c r="C23" s="19" t="s">
        <v>88</v>
      </c>
      <c r="D23" s="20"/>
      <c r="E23" s="21" t="s">
        <v>99</v>
      </c>
      <c r="F23" s="20"/>
      <c r="G23" s="22" t="s">
        <v>13</v>
      </c>
      <c r="H23" s="27" t="s">
        <v>101</v>
      </c>
      <c r="I23" s="20"/>
      <c r="J23" s="20"/>
      <c r="K23" s="20"/>
      <c r="L23" s="20"/>
      <c r="M23" s="22" t="s">
        <v>13</v>
      </c>
      <c r="N23" s="22" t="s">
        <v>13</v>
      </c>
      <c r="O23" s="20"/>
      <c r="P23" s="20"/>
      <c r="Q23" s="22" t="s">
        <v>13</v>
      </c>
      <c r="R23" s="20"/>
      <c r="S23" s="21" t="s">
        <v>99</v>
      </c>
      <c r="T23" s="21" t="s">
        <v>99</v>
      </c>
      <c r="U23" s="21" t="s">
        <v>99</v>
      </c>
      <c r="V23" s="20"/>
      <c r="W23" s="16"/>
      <c r="X23" s="20"/>
      <c r="Y23" s="22" t="s">
        <v>13</v>
      </c>
      <c r="Z23" s="20"/>
      <c r="AA23" s="20"/>
      <c r="AB23" s="22" t="s">
        <v>13</v>
      </c>
      <c r="AC23" s="22" t="s">
        <v>13</v>
      </c>
      <c r="AD23" s="22" t="s">
        <v>13</v>
      </c>
      <c r="AE23" s="20"/>
      <c r="AF23" s="20"/>
      <c r="AG23" s="20"/>
      <c r="AH23" s="20"/>
      <c r="AI23" s="21" t="s">
        <v>99</v>
      </c>
      <c r="AJ23" s="20"/>
      <c r="AK23" s="20"/>
      <c r="AL23" s="20"/>
      <c r="AM23" s="20"/>
      <c r="AN23" s="22" t="s">
        <v>13</v>
      </c>
      <c r="AO23" s="22" t="s">
        <v>13</v>
      </c>
      <c r="AP23" s="20"/>
      <c r="AQ23" s="20"/>
      <c r="AR23" s="20"/>
      <c r="AS23" s="20"/>
    </row>
    <row r="24" ht="15.75" customHeight="1">
      <c r="A24" s="12" t="s">
        <v>52</v>
      </c>
      <c r="B24" s="22" t="s">
        <v>13</v>
      </c>
      <c r="C24" s="19" t="s">
        <v>88</v>
      </c>
      <c r="D24" s="20"/>
      <c r="E24" s="21" t="s">
        <v>99</v>
      </c>
      <c r="F24" s="20"/>
      <c r="G24" s="22" t="s">
        <v>13</v>
      </c>
      <c r="H24" s="20"/>
      <c r="I24" s="20"/>
      <c r="J24" s="22" t="s">
        <v>13</v>
      </c>
      <c r="K24" s="22" t="s">
        <v>13</v>
      </c>
      <c r="L24" s="22" t="s">
        <v>13</v>
      </c>
      <c r="M24" s="22" t="s">
        <v>13</v>
      </c>
      <c r="N24" s="22" t="s">
        <v>13</v>
      </c>
      <c r="O24" s="21" t="s">
        <v>99</v>
      </c>
      <c r="P24" s="20"/>
      <c r="Q24" s="22" t="s">
        <v>13</v>
      </c>
      <c r="R24" s="20"/>
      <c r="S24" s="21" t="s">
        <v>99</v>
      </c>
      <c r="T24" s="22" t="s">
        <v>13</v>
      </c>
      <c r="U24" s="21" t="s">
        <v>99</v>
      </c>
      <c r="V24" s="20"/>
      <c r="W24" s="20"/>
      <c r="X24" s="16"/>
      <c r="Y24" s="22" t="s">
        <v>13</v>
      </c>
      <c r="Z24" s="20"/>
      <c r="AA24" s="20"/>
      <c r="AB24" s="22" t="s">
        <v>13</v>
      </c>
      <c r="AC24" s="22" t="s">
        <v>13</v>
      </c>
      <c r="AD24" s="22" t="s">
        <v>13</v>
      </c>
      <c r="AE24" s="20"/>
      <c r="AF24" s="20"/>
      <c r="AG24" s="20"/>
      <c r="AH24" s="20"/>
      <c r="AI24" s="22" t="s">
        <v>13</v>
      </c>
      <c r="AJ24" s="19" t="s">
        <v>88</v>
      </c>
      <c r="AK24" s="19" t="s">
        <v>88</v>
      </c>
      <c r="AL24" s="21" t="s">
        <v>99</v>
      </c>
      <c r="AM24" s="20"/>
      <c r="AN24" s="22" t="s">
        <v>13</v>
      </c>
      <c r="AO24" s="22" t="s">
        <v>13</v>
      </c>
      <c r="AP24" s="20"/>
      <c r="AQ24" s="20"/>
      <c r="AR24" s="22" t="s">
        <v>13</v>
      </c>
      <c r="AS24" s="20"/>
    </row>
    <row r="25" ht="15.75" customHeight="1">
      <c r="A25" s="28" t="s">
        <v>53</v>
      </c>
      <c r="B25" s="20"/>
      <c r="C25" s="21" t="s">
        <v>99</v>
      </c>
      <c r="D25" s="20"/>
      <c r="E25" s="22" t="s">
        <v>13</v>
      </c>
      <c r="F25" s="21" t="s">
        <v>99</v>
      </c>
      <c r="G25" s="22" t="s">
        <v>13</v>
      </c>
      <c r="H25" s="20"/>
      <c r="I25" s="22" t="s">
        <v>13</v>
      </c>
      <c r="J25" s="22" t="s">
        <v>13</v>
      </c>
      <c r="K25" s="22" t="s">
        <v>13</v>
      </c>
      <c r="L25" s="20"/>
      <c r="M25" s="27" t="s">
        <v>101</v>
      </c>
      <c r="N25" s="20"/>
      <c r="O25" s="20"/>
      <c r="P25" s="20"/>
      <c r="Q25" s="20"/>
      <c r="R25" s="20"/>
      <c r="S25" s="21" t="s">
        <v>99</v>
      </c>
      <c r="T25" s="22" t="s">
        <v>13</v>
      </c>
      <c r="U25" s="22" t="s">
        <v>13</v>
      </c>
      <c r="V25" s="27" t="s">
        <v>101</v>
      </c>
      <c r="W25" s="22" t="s">
        <v>13</v>
      </c>
      <c r="X25" s="22" t="s">
        <v>13</v>
      </c>
      <c r="Y25" s="16"/>
      <c r="Z25" s="20"/>
      <c r="AA25" s="20"/>
      <c r="AB25" s="20"/>
      <c r="AC25" s="22" t="s">
        <v>13</v>
      </c>
      <c r="AD25" s="22" t="s">
        <v>13</v>
      </c>
      <c r="AE25" s="20"/>
      <c r="AF25" s="20"/>
      <c r="AG25" s="20"/>
      <c r="AH25" s="20"/>
      <c r="AI25" s="20"/>
      <c r="AJ25" s="19" t="s">
        <v>88</v>
      </c>
      <c r="AK25" s="20"/>
      <c r="AL25" s="21" t="s">
        <v>99</v>
      </c>
      <c r="AM25" s="20"/>
      <c r="AN25" s="22" t="s">
        <v>13</v>
      </c>
      <c r="AO25" s="22" t="s">
        <v>13</v>
      </c>
      <c r="AP25" s="22" t="s">
        <v>13</v>
      </c>
      <c r="AQ25" s="20"/>
      <c r="AR25" s="20"/>
      <c r="AS25" s="22" t="s">
        <v>13</v>
      </c>
    </row>
    <row r="26" ht="15.75" customHeight="1">
      <c r="A26" s="12" t="s">
        <v>55</v>
      </c>
      <c r="B26" s="20"/>
      <c r="C26" s="20"/>
      <c r="D26" s="20"/>
      <c r="E26" s="20"/>
      <c r="F26" s="20"/>
      <c r="G26" s="20"/>
      <c r="H26" s="20"/>
      <c r="I26" s="20"/>
      <c r="J26" s="20"/>
      <c r="K26" s="20"/>
      <c r="L26" s="20"/>
      <c r="M26" s="20"/>
      <c r="N26" s="20"/>
      <c r="O26" s="20"/>
      <c r="P26" s="20"/>
      <c r="Q26" s="20"/>
      <c r="R26" s="20"/>
      <c r="S26" s="20"/>
      <c r="T26" s="20"/>
      <c r="U26" s="20"/>
      <c r="V26" s="20"/>
      <c r="W26" s="20"/>
      <c r="X26" s="20"/>
      <c r="Y26" s="20"/>
      <c r="Z26" s="16"/>
      <c r="AA26" s="20"/>
      <c r="AB26" s="20"/>
      <c r="AC26" s="22" t="s">
        <v>13</v>
      </c>
      <c r="AD26" s="20"/>
      <c r="AE26" s="20"/>
      <c r="AF26" s="20"/>
      <c r="AG26" s="20"/>
      <c r="AH26" s="20"/>
      <c r="AI26" s="20"/>
      <c r="AJ26" s="20"/>
      <c r="AK26" s="20"/>
      <c r="AL26" s="20"/>
      <c r="AM26" s="20"/>
      <c r="AN26" s="27" t="s">
        <v>101</v>
      </c>
      <c r="AO26" s="20"/>
      <c r="AP26" s="20"/>
      <c r="AQ26" s="20"/>
      <c r="AR26" s="20"/>
      <c r="AS26" s="20"/>
    </row>
    <row r="27" ht="15.75" customHeight="1">
      <c r="A27" s="28" t="s">
        <v>57</v>
      </c>
      <c r="B27" s="22" t="s">
        <v>13</v>
      </c>
      <c r="C27" s="20"/>
      <c r="D27" s="20"/>
      <c r="E27" s="22" t="s">
        <v>13</v>
      </c>
      <c r="F27" s="20"/>
      <c r="G27" s="20"/>
      <c r="H27" s="20"/>
      <c r="I27" s="20"/>
      <c r="J27" s="22" t="s">
        <v>13</v>
      </c>
      <c r="K27" s="20"/>
      <c r="L27" s="20"/>
      <c r="M27" s="22" t="s">
        <v>13</v>
      </c>
      <c r="N27" s="22" t="s">
        <v>13</v>
      </c>
      <c r="O27" s="22" t="s">
        <v>13</v>
      </c>
      <c r="P27" s="20"/>
      <c r="Q27" s="20"/>
      <c r="R27" s="20"/>
      <c r="S27" s="22" t="s">
        <v>13</v>
      </c>
      <c r="T27" s="22" t="s">
        <v>13</v>
      </c>
      <c r="U27" s="22" t="s">
        <v>13</v>
      </c>
      <c r="V27" s="20"/>
      <c r="W27" s="20"/>
      <c r="X27" s="20"/>
      <c r="Y27" s="20"/>
      <c r="Z27" s="20"/>
      <c r="AA27" s="16"/>
      <c r="AB27" s="22" t="s">
        <v>13</v>
      </c>
      <c r="AC27" s="20"/>
      <c r="AD27" s="20"/>
      <c r="AE27" s="20"/>
      <c r="AF27" s="20"/>
      <c r="AG27" s="20"/>
      <c r="AH27" s="20"/>
      <c r="AI27" s="20"/>
      <c r="AJ27" s="20"/>
      <c r="AK27" s="19" t="s">
        <v>88</v>
      </c>
      <c r="AL27" s="22" t="s">
        <v>13</v>
      </c>
      <c r="AM27" s="20"/>
      <c r="AN27" s="20"/>
      <c r="AO27" s="20"/>
      <c r="AP27" s="20"/>
      <c r="AQ27" s="20"/>
      <c r="AR27" s="20"/>
      <c r="AS27" s="20"/>
    </row>
    <row r="28" ht="15.75" customHeight="1">
      <c r="A28" s="12" t="s">
        <v>59</v>
      </c>
      <c r="B28" s="22" t="s">
        <v>13</v>
      </c>
      <c r="C28" s="19" t="s">
        <v>88</v>
      </c>
      <c r="D28" s="22" t="s">
        <v>13</v>
      </c>
      <c r="E28" s="21" t="s">
        <v>99</v>
      </c>
      <c r="F28" s="20"/>
      <c r="G28" s="22" t="s">
        <v>13</v>
      </c>
      <c r="H28" s="21" t="s">
        <v>99</v>
      </c>
      <c r="I28" s="22" t="s">
        <v>13</v>
      </c>
      <c r="J28" s="21" t="s">
        <v>99</v>
      </c>
      <c r="K28" s="20"/>
      <c r="L28" s="22" t="s">
        <v>13</v>
      </c>
      <c r="M28" s="19" t="s">
        <v>88</v>
      </c>
      <c r="N28" s="27" t="s">
        <v>103</v>
      </c>
      <c r="O28" s="21" t="s">
        <v>99</v>
      </c>
      <c r="P28" s="20"/>
      <c r="Q28" s="22" t="s">
        <v>13</v>
      </c>
      <c r="R28" s="20"/>
      <c r="S28" s="21" t="s">
        <v>99</v>
      </c>
      <c r="T28" s="22" t="s">
        <v>13</v>
      </c>
      <c r="U28" s="22" t="s">
        <v>13</v>
      </c>
      <c r="V28" s="20"/>
      <c r="W28" s="22" t="s">
        <v>13</v>
      </c>
      <c r="X28" s="22" t="s">
        <v>13</v>
      </c>
      <c r="Y28" s="20"/>
      <c r="Z28" s="20"/>
      <c r="AA28" s="22" t="s">
        <v>13</v>
      </c>
      <c r="AB28" s="16"/>
      <c r="AC28" s="22" t="s">
        <v>13</v>
      </c>
      <c r="AD28" s="22" t="s">
        <v>13</v>
      </c>
      <c r="AE28" s="21" t="s">
        <v>99</v>
      </c>
      <c r="AF28" s="21" t="s">
        <v>99</v>
      </c>
      <c r="AG28" s="20"/>
      <c r="AH28" s="20"/>
      <c r="AI28" s="22" t="s">
        <v>13</v>
      </c>
      <c r="AJ28" s="19" t="s">
        <v>88</v>
      </c>
      <c r="AK28" s="19" t="s">
        <v>88</v>
      </c>
      <c r="AL28" s="21" t="s">
        <v>99</v>
      </c>
      <c r="AM28" s="20"/>
      <c r="AN28" s="22" t="s">
        <v>13</v>
      </c>
      <c r="AO28" s="22" t="s">
        <v>13</v>
      </c>
      <c r="AP28" s="22" t="s">
        <v>13</v>
      </c>
      <c r="AQ28" s="22" t="s">
        <v>13</v>
      </c>
      <c r="AR28" s="22" t="s">
        <v>13</v>
      </c>
      <c r="AS28" s="20"/>
    </row>
    <row r="29" ht="15.75" customHeight="1">
      <c r="A29" s="28" t="s">
        <v>60</v>
      </c>
      <c r="B29" s="22" t="s">
        <v>13</v>
      </c>
      <c r="C29" s="19" t="s">
        <v>88</v>
      </c>
      <c r="D29" s="22" t="s">
        <v>13</v>
      </c>
      <c r="E29" s="22" t="s">
        <v>13</v>
      </c>
      <c r="F29" s="22" t="s">
        <v>13</v>
      </c>
      <c r="G29" s="22" t="s">
        <v>13</v>
      </c>
      <c r="H29" s="22" t="s">
        <v>13</v>
      </c>
      <c r="I29" s="22" t="s">
        <v>13</v>
      </c>
      <c r="J29" s="20"/>
      <c r="K29" s="22" t="s">
        <v>13</v>
      </c>
      <c r="L29" s="22" t="s">
        <v>13</v>
      </c>
      <c r="M29" s="22" t="s">
        <v>13</v>
      </c>
      <c r="N29" s="22" t="s">
        <v>13</v>
      </c>
      <c r="O29" s="20"/>
      <c r="P29" s="20"/>
      <c r="Q29" s="22" t="s">
        <v>13</v>
      </c>
      <c r="R29" s="20"/>
      <c r="S29" s="21" t="s">
        <v>99</v>
      </c>
      <c r="T29" s="22" t="s">
        <v>13</v>
      </c>
      <c r="U29" s="22" t="s">
        <v>13</v>
      </c>
      <c r="V29" s="22" t="s">
        <v>13</v>
      </c>
      <c r="W29" s="22" t="s">
        <v>13</v>
      </c>
      <c r="X29" s="22" t="s">
        <v>13</v>
      </c>
      <c r="Y29" s="22" t="s">
        <v>13</v>
      </c>
      <c r="Z29" s="22" t="s">
        <v>13</v>
      </c>
      <c r="AA29" s="20"/>
      <c r="AB29" s="22" t="s">
        <v>13</v>
      </c>
      <c r="AC29" s="16"/>
      <c r="AD29" s="22" t="s">
        <v>13</v>
      </c>
      <c r="AE29" s="20"/>
      <c r="AF29" s="20"/>
      <c r="AG29" s="20"/>
      <c r="AH29" s="20"/>
      <c r="AI29" s="22" t="s">
        <v>13</v>
      </c>
      <c r="AJ29" s="19" t="s">
        <v>88</v>
      </c>
      <c r="AK29" s="19" t="s">
        <v>88</v>
      </c>
      <c r="AL29" s="20"/>
      <c r="AM29" s="22" t="s">
        <v>13</v>
      </c>
      <c r="AN29" s="22" t="s">
        <v>13</v>
      </c>
      <c r="AO29" s="22" t="s">
        <v>13</v>
      </c>
      <c r="AP29" s="20"/>
      <c r="AQ29" s="20"/>
      <c r="AR29" s="22" t="s">
        <v>13</v>
      </c>
      <c r="AS29" s="22" t="s">
        <v>13</v>
      </c>
    </row>
    <row r="30" ht="15.75" customHeight="1">
      <c r="A30" s="12" t="s">
        <v>62</v>
      </c>
      <c r="B30" s="22" t="s">
        <v>13</v>
      </c>
      <c r="C30" s="19" t="s">
        <v>88</v>
      </c>
      <c r="D30" s="22" t="s">
        <v>13</v>
      </c>
      <c r="E30" s="22" t="s">
        <v>13</v>
      </c>
      <c r="F30" s="22" t="s">
        <v>13</v>
      </c>
      <c r="G30" s="20"/>
      <c r="H30" s="22" t="s">
        <v>13</v>
      </c>
      <c r="I30" s="22" t="s">
        <v>13</v>
      </c>
      <c r="J30" s="22" t="s">
        <v>13</v>
      </c>
      <c r="K30" s="20"/>
      <c r="L30" s="22" t="s">
        <v>13</v>
      </c>
      <c r="M30" s="22" t="s">
        <v>13</v>
      </c>
      <c r="N30" s="22" t="s">
        <v>13</v>
      </c>
      <c r="O30" s="22" t="s">
        <v>13</v>
      </c>
      <c r="P30" s="20"/>
      <c r="Q30" s="22" t="s">
        <v>13</v>
      </c>
      <c r="R30" s="20"/>
      <c r="S30" s="21" t="s">
        <v>99</v>
      </c>
      <c r="T30" s="22" t="s">
        <v>13</v>
      </c>
      <c r="U30" s="22" t="s">
        <v>13</v>
      </c>
      <c r="V30" s="20"/>
      <c r="W30" s="22" t="s">
        <v>13</v>
      </c>
      <c r="X30" s="22" t="s">
        <v>13</v>
      </c>
      <c r="Y30" s="22" t="s">
        <v>13</v>
      </c>
      <c r="Z30" s="20"/>
      <c r="AA30" s="20"/>
      <c r="AB30" s="22" t="s">
        <v>13</v>
      </c>
      <c r="AC30" s="22" t="s">
        <v>13</v>
      </c>
      <c r="AD30" s="16"/>
      <c r="AE30" s="22" t="s">
        <v>13</v>
      </c>
      <c r="AF30" s="22" t="s">
        <v>13</v>
      </c>
      <c r="AG30" s="20"/>
      <c r="AH30" s="20"/>
      <c r="AI30" s="22" t="s">
        <v>13</v>
      </c>
      <c r="AJ30" s="19" t="s">
        <v>88</v>
      </c>
      <c r="AK30" s="19" t="s">
        <v>88</v>
      </c>
      <c r="AL30" s="22" t="s">
        <v>13</v>
      </c>
      <c r="AM30" s="20"/>
      <c r="AN30" s="22" t="s">
        <v>13</v>
      </c>
      <c r="AO30" s="22" t="s">
        <v>13</v>
      </c>
      <c r="AP30" s="22" t="s">
        <v>13</v>
      </c>
      <c r="AQ30" s="20"/>
      <c r="AR30" s="22" t="s">
        <v>13</v>
      </c>
      <c r="AS30" s="22" t="s">
        <v>13</v>
      </c>
    </row>
    <row r="31" ht="15.75" customHeight="1">
      <c r="A31" s="28" t="s">
        <v>63</v>
      </c>
      <c r="B31" s="20"/>
      <c r="C31" s="20"/>
      <c r="D31" s="20"/>
      <c r="E31" s="21" t="s">
        <v>99</v>
      </c>
      <c r="F31" s="20"/>
      <c r="G31" s="20"/>
      <c r="H31" s="20"/>
      <c r="I31" s="20"/>
      <c r="J31" s="20"/>
      <c r="K31" s="20"/>
      <c r="L31" s="20"/>
      <c r="M31" s="22" t="s">
        <v>13</v>
      </c>
      <c r="N31" s="22" t="s">
        <v>13</v>
      </c>
      <c r="O31" s="20"/>
      <c r="P31" s="20"/>
      <c r="Q31" s="22" t="s">
        <v>13</v>
      </c>
      <c r="R31" s="20"/>
      <c r="S31" s="21" t="s">
        <v>99</v>
      </c>
      <c r="T31" s="22" t="s">
        <v>13</v>
      </c>
      <c r="U31" s="22" t="s">
        <v>13</v>
      </c>
      <c r="V31" s="22" t="s">
        <v>13</v>
      </c>
      <c r="W31" s="20"/>
      <c r="X31" s="20"/>
      <c r="Y31" s="20"/>
      <c r="Z31" s="20"/>
      <c r="AA31" s="20"/>
      <c r="AB31" s="21" t="s">
        <v>99</v>
      </c>
      <c r="AC31" s="20"/>
      <c r="AD31" s="22" t="s">
        <v>13</v>
      </c>
      <c r="AE31" s="16"/>
      <c r="AF31" s="37" t="s">
        <v>135</v>
      </c>
      <c r="AG31" s="20"/>
      <c r="AH31" s="20"/>
      <c r="AI31" s="22" t="s">
        <v>13</v>
      </c>
      <c r="AJ31" s="19" t="s">
        <v>88</v>
      </c>
      <c r="AK31" s="19" t="s">
        <v>88</v>
      </c>
      <c r="AL31" s="20"/>
      <c r="AM31" s="20"/>
      <c r="AN31" s="20"/>
      <c r="AO31" s="20"/>
      <c r="AP31" s="20"/>
      <c r="AQ31" s="20"/>
      <c r="AR31" s="20"/>
      <c r="AS31" s="20"/>
    </row>
    <row r="32" ht="15.75" customHeight="1">
      <c r="A32" s="12" t="s">
        <v>64</v>
      </c>
      <c r="B32" s="20"/>
      <c r="C32" s="20"/>
      <c r="D32" s="20"/>
      <c r="E32" s="21" t="s">
        <v>99</v>
      </c>
      <c r="F32" s="20"/>
      <c r="G32" s="20"/>
      <c r="H32" s="20"/>
      <c r="I32" s="20"/>
      <c r="J32" s="20"/>
      <c r="K32" s="20"/>
      <c r="L32" s="20"/>
      <c r="M32" s="22" t="s">
        <v>13</v>
      </c>
      <c r="N32" s="21" t="s">
        <v>99</v>
      </c>
      <c r="O32" s="20"/>
      <c r="P32" s="20"/>
      <c r="Q32" s="22" t="s">
        <v>13</v>
      </c>
      <c r="R32" s="20"/>
      <c r="S32" s="22" t="s">
        <v>13</v>
      </c>
      <c r="T32" s="21" t="s">
        <v>99</v>
      </c>
      <c r="U32" s="22" t="s">
        <v>13</v>
      </c>
      <c r="V32" s="22" t="s">
        <v>13</v>
      </c>
      <c r="W32" s="20"/>
      <c r="X32" s="20"/>
      <c r="Y32" s="20"/>
      <c r="Z32" s="20"/>
      <c r="AA32" s="20"/>
      <c r="AB32" s="21" t="s">
        <v>99</v>
      </c>
      <c r="AC32" s="20"/>
      <c r="AD32" s="22" t="s">
        <v>13</v>
      </c>
      <c r="AE32" s="37" t="s">
        <v>135</v>
      </c>
      <c r="AF32" s="16"/>
      <c r="AG32" s="20"/>
      <c r="AH32" s="20"/>
      <c r="AI32" s="22" t="s">
        <v>13</v>
      </c>
      <c r="AJ32" s="19" t="s">
        <v>88</v>
      </c>
      <c r="AK32" s="19" t="s">
        <v>88</v>
      </c>
      <c r="AL32" s="22" t="s">
        <v>13</v>
      </c>
      <c r="AM32" s="20"/>
      <c r="AN32" s="20"/>
      <c r="AO32" s="20"/>
      <c r="AP32" s="20"/>
      <c r="AQ32" s="20"/>
      <c r="AR32" s="20"/>
      <c r="AS32" s="20"/>
    </row>
    <row r="33" ht="15.75" customHeight="1">
      <c r="A33" s="28" t="s">
        <v>66</v>
      </c>
      <c r="B33" s="21" t="s">
        <v>99</v>
      </c>
      <c r="C33" s="20"/>
      <c r="D33" s="20"/>
      <c r="E33" s="20"/>
      <c r="F33" s="20"/>
      <c r="G33" s="20"/>
      <c r="H33" s="21" t="s">
        <v>99</v>
      </c>
      <c r="I33" s="20"/>
      <c r="J33" s="20"/>
      <c r="K33" s="20"/>
      <c r="L33" s="20"/>
      <c r="M33" s="21" t="s">
        <v>99</v>
      </c>
      <c r="N33" s="20"/>
      <c r="O33" s="20"/>
      <c r="P33" s="20"/>
      <c r="Q33" s="21" t="s">
        <v>99</v>
      </c>
      <c r="R33" s="20"/>
      <c r="S33" s="20"/>
      <c r="T33" s="20"/>
      <c r="U33" s="21" t="s">
        <v>99</v>
      </c>
      <c r="V33" s="20"/>
      <c r="W33" s="20"/>
      <c r="X33" s="20"/>
      <c r="Y33" s="20"/>
      <c r="Z33" s="20"/>
      <c r="AA33" s="20"/>
      <c r="AB33" s="20"/>
      <c r="AC33" s="20"/>
      <c r="AD33" s="20"/>
      <c r="AE33" s="20"/>
      <c r="AF33" s="20"/>
      <c r="AG33" s="16"/>
      <c r="AH33" s="20"/>
      <c r="AI33" s="20"/>
      <c r="AJ33" s="20"/>
      <c r="AK33" s="20"/>
      <c r="AL33" s="20"/>
      <c r="AM33" s="20"/>
      <c r="AN33" s="20"/>
      <c r="AO33" s="20"/>
      <c r="AP33" s="20"/>
      <c r="AQ33" s="20"/>
      <c r="AR33" s="20"/>
      <c r="AS33" s="20"/>
    </row>
    <row r="34" ht="15.75" customHeight="1">
      <c r="A34" s="12" t="s">
        <v>67</v>
      </c>
      <c r="B34" s="20"/>
      <c r="C34" s="20"/>
      <c r="D34" s="20"/>
      <c r="E34" s="21" t="s">
        <v>99</v>
      </c>
      <c r="F34" s="20"/>
      <c r="G34" s="20"/>
      <c r="H34" s="20"/>
      <c r="I34" s="20"/>
      <c r="J34" s="20"/>
      <c r="K34" s="20"/>
      <c r="L34" s="20"/>
      <c r="M34" s="20"/>
      <c r="N34" s="20"/>
      <c r="O34" s="20"/>
      <c r="P34" s="20"/>
      <c r="Q34" s="20"/>
      <c r="R34" s="20"/>
      <c r="S34" s="20"/>
      <c r="T34" s="22" t="s">
        <v>13</v>
      </c>
      <c r="U34" s="20"/>
      <c r="V34" s="20"/>
      <c r="W34" s="20"/>
      <c r="X34" s="20"/>
      <c r="Y34" s="20"/>
      <c r="Z34" s="20"/>
      <c r="AA34" s="20"/>
      <c r="AB34" s="20"/>
      <c r="AC34" s="20"/>
      <c r="AD34" s="20"/>
      <c r="AE34" s="20"/>
      <c r="AF34" s="20"/>
      <c r="AG34" s="20"/>
      <c r="AH34" s="16"/>
      <c r="AI34" s="21" t="s">
        <v>99</v>
      </c>
      <c r="AJ34" s="20"/>
      <c r="AK34" s="20"/>
      <c r="AL34" s="21" t="s">
        <v>99</v>
      </c>
      <c r="AM34" s="20"/>
      <c r="AN34" s="20"/>
      <c r="AO34" s="21" t="s">
        <v>99</v>
      </c>
      <c r="AP34" s="20"/>
      <c r="AQ34" s="20"/>
      <c r="AR34" s="20"/>
      <c r="AS34" s="27" t="s">
        <v>101</v>
      </c>
    </row>
    <row r="35" ht="15.75" customHeight="1">
      <c r="A35" s="28" t="s">
        <v>70</v>
      </c>
      <c r="B35" s="22" t="s">
        <v>13</v>
      </c>
      <c r="C35" s="19" t="s">
        <v>88</v>
      </c>
      <c r="D35" s="22" t="s">
        <v>13</v>
      </c>
      <c r="E35" s="22" t="s">
        <v>13</v>
      </c>
      <c r="F35" s="20"/>
      <c r="G35" s="20"/>
      <c r="H35" s="20"/>
      <c r="I35" s="22" t="s">
        <v>13</v>
      </c>
      <c r="J35" s="22" t="s">
        <v>13</v>
      </c>
      <c r="K35" s="22" t="s">
        <v>13</v>
      </c>
      <c r="L35" s="22" t="s">
        <v>13</v>
      </c>
      <c r="M35" s="22" t="s">
        <v>13</v>
      </c>
      <c r="N35" s="22" t="s">
        <v>13</v>
      </c>
      <c r="O35" s="22" t="s">
        <v>13</v>
      </c>
      <c r="P35" s="20"/>
      <c r="Q35" s="22" t="s">
        <v>13</v>
      </c>
      <c r="R35" s="20"/>
      <c r="S35" s="22" t="s">
        <v>13</v>
      </c>
      <c r="T35" s="22" t="s">
        <v>13</v>
      </c>
      <c r="U35" s="22" t="s">
        <v>13</v>
      </c>
      <c r="V35" s="20"/>
      <c r="W35" s="21" t="s">
        <v>99</v>
      </c>
      <c r="X35" s="22" t="s">
        <v>13</v>
      </c>
      <c r="Y35" s="20"/>
      <c r="Z35" s="20"/>
      <c r="AA35" s="20"/>
      <c r="AB35" s="22" t="s">
        <v>13</v>
      </c>
      <c r="AC35" s="22" t="s">
        <v>13</v>
      </c>
      <c r="AD35" s="22" t="s">
        <v>13</v>
      </c>
      <c r="AE35" s="22" t="s">
        <v>13</v>
      </c>
      <c r="AF35" s="22" t="s">
        <v>13</v>
      </c>
      <c r="AG35" s="20"/>
      <c r="AH35" s="21" t="s">
        <v>99</v>
      </c>
      <c r="AI35" s="16"/>
      <c r="AJ35" s="19" t="s">
        <v>88</v>
      </c>
      <c r="AK35" s="19" t="s">
        <v>88</v>
      </c>
      <c r="AL35" s="22" t="s">
        <v>13</v>
      </c>
      <c r="AM35" s="20"/>
      <c r="AN35" s="20"/>
      <c r="AO35" s="22" t="s">
        <v>13</v>
      </c>
      <c r="AP35" s="22" t="s">
        <v>13</v>
      </c>
      <c r="AQ35" s="20"/>
      <c r="AR35" s="22" t="s">
        <v>13</v>
      </c>
      <c r="AS35" s="27" t="s">
        <v>101</v>
      </c>
    </row>
    <row r="36" ht="15.75" customHeight="1">
      <c r="A36" s="12" t="s">
        <v>42</v>
      </c>
      <c r="B36" s="19" t="s">
        <v>88</v>
      </c>
      <c r="C36" s="27" t="s">
        <v>103</v>
      </c>
      <c r="D36" s="19" t="s">
        <v>88</v>
      </c>
      <c r="E36" s="20"/>
      <c r="F36" s="19" t="s">
        <v>88</v>
      </c>
      <c r="G36" s="20"/>
      <c r="H36" s="20"/>
      <c r="I36" s="21" t="s">
        <v>99</v>
      </c>
      <c r="J36" s="20"/>
      <c r="K36" s="22" t="s">
        <v>13</v>
      </c>
      <c r="L36" s="19" t="s">
        <v>88</v>
      </c>
      <c r="M36" s="19" t="s">
        <v>88</v>
      </c>
      <c r="N36" s="19" t="s">
        <v>88</v>
      </c>
      <c r="O36" s="20"/>
      <c r="P36" s="20"/>
      <c r="Q36" s="20"/>
      <c r="R36" s="20"/>
      <c r="S36" s="19" t="s">
        <v>88</v>
      </c>
      <c r="T36" s="19" t="s">
        <v>88</v>
      </c>
      <c r="U36" s="19" t="s">
        <v>88</v>
      </c>
      <c r="V36" s="19" t="s">
        <v>88</v>
      </c>
      <c r="W36" s="20"/>
      <c r="X36" s="19" t="s">
        <v>88</v>
      </c>
      <c r="Y36" s="19" t="s">
        <v>88</v>
      </c>
      <c r="Z36" s="20"/>
      <c r="AA36" s="20"/>
      <c r="AB36" s="19" t="s">
        <v>88</v>
      </c>
      <c r="AC36" s="19" t="s">
        <v>88</v>
      </c>
      <c r="AD36" s="19" t="s">
        <v>88</v>
      </c>
      <c r="AE36" s="19" t="s">
        <v>88</v>
      </c>
      <c r="AF36" s="19" t="s">
        <v>88</v>
      </c>
      <c r="AG36" s="20"/>
      <c r="AH36" s="20"/>
      <c r="AI36" s="19" t="s">
        <v>88</v>
      </c>
      <c r="AJ36" s="16"/>
      <c r="AK36" s="19" t="s">
        <v>88</v>
      </c>
      <c r="AL36" s="21" t="s">
        <v>99</v>
      </c>
      <c r="AM36" s="20"/>
      <c r="AN36" s="20"/>
      <c r="AO36" s="19" t="s">
        <v>88</v>
      </c>
      <c r="AP36" s="20"/>
      <c r="AQ36" s="20"/>
      <c r="AR36" s="27" t="s">
        <v>103</v>
      </c>
      <c r="AS36" s="27" t="s">
        <v>103</v>
      </c>
    </row>
    <row r="37" ht="15.75" customHeight="1">
      <c r="A37" s="28" t="s">
        <v>72</v>
      </c>
      <c r="B37" s="19" t="s">
        <v>88</v>
      </c>
      <c r="C37" s="19" t="s">
        <v>88</v>
      </c>
      <c r="D37" s="19" t="s">
        <v>88</v>
      </c>
      <c r="E37" s="21" t="s">
        <v>99</v>
      </c>
      <c r="F37" s="20"/>
      <c r="G37" s="19" t="s">
        <v>88</v>
      </c>
      <c r="H37" s="20"/>
      <c r="I37" s="19" t="s">
        <v>88</v>
      </c>
      <c r="J37" s="19" t="s">
        <v>88</v>
      </c>
      <c r="K37" s="22" t="s">
        <v>13</v>
      </c>
      <c r="L37" s="19" t="s">
        <v>88</v>
      </c>
      <c r="M37" s="19" t="s">
        <v>88</v>
      </c>
      <c r="N37" s="19" t="s">
        <v>88</v>
      </c>
      <c r="O37" s="20"/>
      <c r="P37" s="20"/>
      <c r="Q37" s="19" t="s">
        <v>88</v>
      </c>
      <c r="R37" s="20"/>
      <c r="S37" s="19" t="s">
        <v>88</v>
      </c>
      <c r="T37" s="19" t="s">
        <v>88</v>
      </c>
      <c r="U37" s="22" t="s">
        <v>13</v>
      </c>
      <c r="V37" s="20"/>
      <c r="W37" s="20"/>
      <c r="X37" s="19" t="s">
        <v>88</v>
      </c>
      <c r="Y37" s="20"/>
      <c r="Z37" s="20"/>
      <c r="AA37" s="19" t="s">
        <v>88</v>
      </c>
      <c r="AB37" s="19" t="s">
        <v>88</v>
      </c>
      <c r="AC37" s="19" t="s">
        <v>88</v>
      </c>
      <c r="AD37" s="19" t="s">
        <v>88</v>
      </c>
      <c r="AE37" s="19" t="s">
        <v>88</v>
      </c>
      <c r="AF37" s="19" t="s">
        <v>88</v>
      </c>
      <c r="AG37" s="20"/>
      <c r="AH37" s="20"/>
      <c r="AI37" s="19" t="s">
        <v>88</v>
      </c>
      <c r="AJ37" s="19" t="s">
        <v>88</v>
      </c>
      <c r="AK37" s="16"/>
      <c r="AL37" s="21" t="s">
        <v>99</v>
      </c>
      <c r="AM37" s="20"/>
      <c r="AN37" s="19" t="s">
        <v>88</v>
      </c>
      <c r="AO37" s="19" t="s">
        <v>88</v>
      </c>
      <c r="AP37" s="19" t="s">
        <v>88</v>
      </c>
      <c r="AQ37" s="19" t="s">
        <v>88</v>
      </c>
      <c r="AR37" s="19" t="s">
        <v>88</v>
      </c>
      <c r="AS37" s="27" t="s">
        <v>103</v>
      </c>
    </row>
    <row r="38" ht="15.75" customHeight="1">
      <c r="A38" s="12" t="s">
        <v>16</v>
      </c>
      <c r="B38" s="27" t="s">
        <v>101</v>
      </c>
      <c r="C38" s="21" t="s">
        <v>99</v>
      </c>
      <c r="D38" s="20"/>
      <c r="E38" s="21" t="s">
        <v>99</v>
      </c>
      <c r="F38" s="21" t="s">
        <v>99</v>
      </c>
      <c r="G38" s="21" t="s">
        <v>99</v>
      </c>
      <c r="H38" s="20"/>
      <c r="I38" s="21" t="s">
        <v>99</v>
      </c>
      <c r="J38" s="22" t="s">
        <v>13</v>
      </c>
      <c r="K38" s="20"/>
      <c r="L38" s="20"/>
      <c r="M38" s="21" t="s">
        <v>99</v>
      </c>
      <c r="N38" s="22" t="s">
        <v>13</v>
      </c>
      <c r="O38" s="20"/>
      <c r="P38" s="20"/>
      <c r="Q38" s="22" t="s">
        <v>13</v>
      </c>
      <c r="R38" s="20"/>
      <c r="S38" s="22" t="s">
        <v>13</v>
      </c>
      <c r="T38" s="21" t="s">
        <v>99</v>
      </c>
      <c r="U38" s="22" t="s">
        <v>13</v>
      </c>
      <c r="V38" s="21" t="s">
        <v>99</v>
      </c>
      <c r="W38" s="20"/>
      <c r="X38" s="21" t="s">
        <v>99</v>
      </c>
      <c r="Y38" s="21" t="s">
        <v>99</v>
      </c>
      <c r="Z38" s="20"/>
      <c r="AA38" s="22" t="s">
        <v>13</v>
      </c>
      <c r="AB38" s="21" t="s">
        <v>99</v>
      </c>
      <c r="AC38" s="20"/>
      <c r="AD38" s="22" t="s">
        <v>13</v>
      </c>
      <c r="AE38" s="20"/>
      <c r="AF38" s="22" t="s">
        <v>13</v>
      </c>
      <c r="AG38" s="20"/>
      <c r="AH38" s="21" t="s">
        <v>99</v>
      </c>
      <c r="AI38" s="22" t="s">
        <v>13</v>
      </c>
      <c r="AJ38" s="21" t="s">
        <v>99</v>
      </c>
      <c r="AK38" s="21" t="s">
        <v>99</v>
      </c>
      <c r="AL38" s="16"/>
      <c r="AM38" s="20"/>
      <c r="AN38" s="22" t="s">
        <v>13</v>
      </c>
      <c r="AO38" s="21" t="s">
        <v>99</v>
      </c>
      <c r="AP38" s="20"/>
      <c r="AQ38" s="22" t="s">
        <v>13</v>
      </c>
      <c r="AR38" s="21" t="s">
        <v>99</v>
      </c>
      <c r="AS38" s="21" t="s">
        <v>99</v>
      </c>
    </row>
    <row r="39" ht="15.75" customHeight="1">
      <c r="A39" s="28" t="s">
        <v>74</v>
      </c>
      <c r="B39" s="20"/>
      <c r="C39" s="21" t="s">
        <v>99</v>
      </c>
      <c r="D39" s="20"/>
      <c r="E39" s="20"/>
      <c r="F39" s="20"/>
      <c r="G39" s="20"/>
      <c r="H39" s="20"/>
      <c r="I39" s="20"/>
      <c r="J39" s="20"/>
      <c r="K39" s="27" t="s">
        <v>101</v>
      </c>
      <c r="L39" s="20"/>
      <c r="M39" s="20"/>
      <c r="N39" s="20"/>
      <c r="O39" s="20"/>
      <c r="P39" s="20"/>
      <c r="Q39" s="20"/>
      <c r="R39" s="20"/>
      <c r="S39" s="20"/>
      <c r="T39" s="20"/>
      <c r="U39" s="20"/>
      <c r="V39" s="20"/>
      <c r="W39" s="20"/>
      <c r="X39" s="20"/>
      <c r="Y39" s="20"/>
      <c r="Z39" s="20"/>
      <c r="AA39" s="20"/>
      <c r="AB39" s="20"/>
      <c r="AC39" s="22" t="s">
        <v>13</v>
      </c>
      <c r="AD39" s="20"/>
      <c r="AE39" s="20"/>
      <c r="AF39" s="20"/>
      <c r="AG39" s="20"/>
      <c r="AH39" s="20"/>
      <c r="AI39" s="20"/>
      <c r="AJ39" s="20"/>
      <c r="AK39" s="20"/>
      <c r="AL39" s="20"/>
      <c r="AM39" s="16"/>
      <c r="AN39" s="20"/>
      <c r="AO39" s="20"/>
      <c r="AP39" s="27" t="s">
        <v>101</v>
      </c>
      <c r="AQ39" s="20"/>
      <c r="AR39" s="20"/>
      <c r="AS39" s="20"/>
    </row>
    <row r="40" ht="15.75" customHeight="1">
      <c r="A40" s="12" t="s">
        <v>68</v>
      </c>
      <c r="B40" s="22" t="s">
        <v>13</v>
      </c>
      <c r="C40" s="19" t="s">
        <v>88</v>
      </c>
      <c r="D40" s="20"/>
      <c r="E40" s="22" t="s">
        <v>13</v>
      </c>
      <c r="F40" s="22" t="s">
        <v>13</v>
      </c>
      <c r="G40" s="22" t="s">
        <v>13</v>
      </c>
      <c r="H40" s="20"/>
      <c r="I40" s="22" t="s">
        <v>13</v>
      </c>
      <c r="J40" s="20"/>
      <c r="K40" s="22" t="s">
        <v>13</v>
      </c>
      <c r="L40" s="22" t="s">
        <v>13</v>
      </c>
      <c r="M40" s="27" t="s">
        <v>101</v>
      </c>
      <c r="N40" s="22" t="s">
        <v>13</v>
      </c>
      <c r="O40" s="20"/>
      <c r="P40" s="20"/>
      <c r="Q40" s="22" t="s">
        <v>13</v>
      </c>
      <c r="R40" s="20"/>
      <c r="S40" s="22" t="s">
        <v>13</v>
      </c>
      <c r="T40" s="22" t="s">
        <v>13</v>
      </c>
      <c r="U40" s="22" t="s">
        <v>13</v>
      </c>
      <c r="V40" s="27" t="s">
        <v>101</v>
      </c>
      <c r="W40" s="22" t="s">
        <v>13</v>
      </c>
      <c r="X40" s="22" t="s">
        <v>13</v>
      </c>
      <c r="Y40" s="22" t="s">
        <v>13</v>
      </c>
      <c r="Z40" s="27" t="s">
        <v>101</v>
      </c>
      <c r="AA40" s="20"/>
      <c r="AB40" s="22" t="s">
        <v>13</v>
      </c>
      <c r="AC40" s="22" t="s">
        <v>13</v>
      </c>
      <c r="AD40" s="22" t="s">
        <v>13</v>
      </c>
      <c r="AE40" s="20"/>
      <c r="AF40" s="20"/>
      <c r="AG40" s="20"/>
      <c r="AH40" s="20"/>
      <c r="AI40" s="20"/>
      <c r="AJ40" s="20"/>
      <c r="AK40" s="19" t="s">
        <v>88</v>
      </c>
      <c r="AL40" s="22" t="s">
        <v>13</v>
      </c>
      <c r="AM40" s="20"/>
      <c r="AN40" s="16"/>
      <c r="AO40" s="22" t="s">
        <v>13</v>
      </c>
      <c r="AP40" s="27" t="s">
        <v>101</v>
      </c>
      <c r="AQ40" s="20"/>
      <c r="AR40" s="20"/>
      <c r="AS40" s="22" t="s">
        <v>13</v>
      </c>
    </row>
    <row r="41" ht="15.75" customHeight="1">
      <c r="A41" s="28" t="s">
        <v>78</v>
      </c>
      <c r="B41" s="22" t="s">
        <v>13</v>
      </c>
      <c r="C41" s="20"/>
      <c r="D41" s="20"/>
      <c r="E41" s="22" t="s">
        <v>13</v>
      </c>
      <c r="F41" s="22" t="s">
        <v>13</v>
      </c>
      <c r="G41" s="22" t="s">
        <v>13</v>
      </c>
      <c r="H41" s="21" t="s">
        <v>99</v>
      </c>
      <c r="I41" s="21" t="s">
        <v>99</v>
      </c>
      <c r="J41" s="20"/>
      <c r="K41" s="22" t="s">
        <v>13</v>
      </c>
      <c r="L41" s="20"/>
      <c r="M41" s="22" t="s">
        <v>13</v>
      </c>
      <c r="N41" s="22" t="s">
        <v>13</v>
      </c>
      <c r="O41" s="20"/>
      <c r="P41" s="22" t="s">
        <v>13</v>
      </c>
      <c r="Q41" s="22" t="s">
        <v>13</v>
      </c>
      <c r="R41" s="20"/>
      <c r="S41" s="22" t="s">
        <v>13</v>
      </c>
      <c r="T41" s="22" t="s">
        <v>13</v>
      </c>
      <c r="U41" s="22" t="s">
        <v>13</v>
      </c>
      <c r="V41" s="22" t="s">
        <v>13</v>
      </c>
      <c r="W41" s="22" t="s">
        <v>13</v>
      </c>
      <c r="X41" s="22" t="s">
        <v>13</v>
      </c>
      <c r="Y41" s="22" t="s">
        <v>13</v>
      </c>
      <c r="Z41" s="20"/>
      <c r="AA41" s="20"/>
      <c r="AB41" s="22" t="s">
        <v>13</v>
      </c>
      <c r="AC41" s="22" t="s">
        <v>13</v>
      </c>
      <c r="AD41" s="22" t="s">
        <v>13</v>
      </c>
      <c r="AE41" s="20"/>
      <c r="AF41" s="20"/>
      <c r="AG41" s="20"/>
      <c r="AH41" s="21" t="s">
        <v>99</v>
      </c>
      <c r="AI41" s="22" t="s">
        <v>13</v>
      </c>
      <c r="AJ41" s="19" t="s">
        <v>88</v>
      </c>
      <c r="AK41" s="19" t="s">
        <v>88</v>
      </c>
      <c r="AL41" s="21" t="s">
        <v>99</v>
      </c>
      <c r="AM41" s="20"/>
      <c r="AN41" s="22" t="s">
        <v>13</v>
      </c>
      <c r="AO41" s="16"/>
      <c r="AP41" s="21" t="s">
        <v>99</v>
      </c>
      <c r="AQ41" s="20"/>
      <c r="AR41" s="21" t="s">
        <v>99</v>
      </c>
      <c r="AS41" s="22" t="s">
        <v>13</v>
      </c>
    </row>
    <row r="42" ht="15.75" customHeight="1">
      <c r="A42" s="12" t="s">
        <v>76</v>
      </c>
      <c r="B42" s="22" t="s">
        <v>13</v>
      </c>
      <c r="C42" s="20"/>
      <c r="D42" s="20"/>
      <c r="E42" s="22" t="s">
        <v>13</v>
      </c>
      <c r="F42" s="20"/>
      <c r="G42" s="22" t="s">
        <v>13</v>
      </c>
      <c r="H42" s="22" t="s">
        <v>13</v>
      </c>
      <c r="I42" s="22" t="s">
        <v>13</v>
      </c>
      <c r="J42" s="20"/>
      <c r="K42" s="22" t="s">
        <v>13</v>
      </c>
      <c r="L42" s="20"/>
      <c r="M42" s="22" t="s">
        <v>13</v>
      </c>
      <c r="N42" s="22" t="s">
        <v>13</v>
      </c>
      <c r="O42" s="20"/>
      <c r="P42" s="22" t="s">
        <v>13</v>
      </c>
      <c r="Q42" s="27" t="s">
        <v>101</v>
      </c>
      <c r="R42" s="20"/>
      <c r="S42" s="22" t="s">
        <v>13</v>
      </c>
      <c r="T42" s="22" t="s">
        <v>13</v>
      </c>
      <c r="U42" s="20"/>
      <c r="V42" s="22" t="s">
        <v>13</v>
      </c>
      <c r="W42" s="20"/>
      <c r="X42" s="20"/>
      <c r="Y42" s="22" t="s">
        <v>13</v>
      </c>
      <c r="Z42" s="20"/>
      <c r="AA42" s="20"/>
      <c r="AB42" s="22" t="s">
        <v>13</v>
      </c>
      <c r="AC42" s="20"/>
      <c r="AD42" s="22" t="s">
        <v>13</v>
      </c>
      <c r="AE42" s="20"/>
      <c r="AF42" s="20"/>
      <c r="AG42" s="20"/>
      <c r="AH42" s="20"/>
      <c r="AI42" s="22" t="s">
        <v>13</v>
      </c>
      <c r="AJ42" s="20"/>
      <c r="AK42" s="19" t="s">
        <v>88</v>
      </c>
      <c r="AL42" s="20"/>
      <c r="AM42" s="27" t="s">
        <v>101</v>
      </c>
      <c r="AN42" s="27" t="s">
        <v>101</v>
      </c>
      <c r="AO42" s="21" t="s">
        <v>99</v>
      </c>
      <c r="AP42" s="16"/>
      <c r="AQ42" s="20"/>
      <c r="AR42" s="20"/>
      <c r="AS42" s="20"/>
    </row>
    <row r="43" ht="15.75" customHeight="1">
      <c r="A43" s="28" t="s">
        <v>80</v>
      </c>
      <c r="B43" s="20"/>
      <c r="C43" s="20"/>
      <c r="D43" s="20"/>
      <c r="E43" s="21" t="s">
        <v>99</v>
      </c>
      <c r="F43" s="20"/>
      <c r="G43" s="20"/>
      <c r="H43" s="20"/>
      <c r="I43" s="20"/>
      <c r="J43" s="20"/>
      <c r="K43" s="20"/>
      <c r="L43" s="20"/>
      <c r="M43" s="22" t="s">
        <v>13</v>
      </c>
      <c r="N43" s="22" t="s">
        <v>13</v>
      </c>
      <c r="O43" s="22" t="s">
        <v>13</v>
      </c>
      <c r="P43" s="20"/>
      <c r="Q43" s="20"/>
      <c r="R43" s="20"/>
      <c r="S43" s="20"/>
      <c r="T43" s="20"/>
      <c r="U43" s="20"/>
      <c r="V43" s="20"/>
      <c r="W43" s="20"/>
      <c r="X43" s="20"/>
      <c r="Y43" s="20"/>
      <c r="Z43" s="20"/>
      <c r="AA43" s="20"/>
      <c r="AB43" s="22" t="s">
        <v>13</v>
      </c>
      <c r="AC43" s="20"/>
      <c r="AD43" s="20"/>
      <c r="AE43" s="20"/>
      <c r="AF43" s="20"/>
      <c r="AG43" s="20"/>
      <c r="AH43" s="20"/>
      <c r="AI43" s="20"/>
      <c r="AJ43" s="20"/>
      <c r="AK43" s="19" t="s">
        <v>88</v>
      </c>
      <c r="AL43" s="22" t="s">
        <v>13</v>
      </c>
      <c r="AM43" s="20"/>
      <c r="AN43" s="20"/>
      <c r="AO43" s="20"/>
      <c r="AP43" s="20"/>
      <c r="AQ43" s="16"/>
      <c r="AR43" s="20"/>
      <c r="AS43" s="20"/>
    </row>
    <row r="44" ht="15.75" customHeight="1">
      <c r="A44" s="12" t="s">
        <v>81</v>
      </c>
      <c r="B44" s="22" t="s">
        <v>13</v>
      </c>
      <c r="C44" s="19" t="s">
        <v>88</v>
      </c>
      <c r="D44" s="20"/>
      <c r="E44" s="20"/>
      <c r="F44" s="20"/>
      <c r="G44" s="20"/>
      <c r="H44" s="20"/>
      <c r="I44" s="20"/>
      <c r="J44" s="20"/>
      <c r="K44" s="20"/>
      <c r="L44" s="22" t="s">
        <v>13</v>
      </c>
      <c r="M44" s="22" t="s">
        <v>13</v>
      </c>
      <c r="N44" s="22" t="s">
        <v>13</v>
      </c>
      <c r="O44" s="20"/>
      <c r="P44" s="20"/>
      <c r="Q44" s="22" t="s">
        <v>13</v>
      </c>
      <c r="R44" s="20"/>
      <c r="S44" s="21" t="s">
        <v>99</v>
      </c>
      <c r="T44" s="22" t="s">
        <v>13</v>
      </c>
      <c r="U44" s="20"/>
      <c r="V44" s="27" t="s">
        <v>103</v>
      </c>
      <c r="W44" s="20"/>
      <c r="X44" s="22" t="s">
        <v>13</v>
      </c>
      <c r="Y44" s="20"/>
      <c r="Z44" s="20"/>
      <c r="AA44" s="20"/>
      <c r="AB44" s="22" t="s">
        <v>13</v>
      </c>
      <c r="AC44" s="22" t="s">
        <v>13</v>
      </c>
      <c r="AD44" s="22" t="s">
        <v>13</v>
      </c>
      <c r="AE44" s="20"/>
      <c r="AF44" s="20"/>
      <c r="AG44" s="20"/>
      <c r="AH44" s="20"/>
      <c r="AI44" s="22" t="s">
        <v>13</v>
      </c>
      <c r="AJ44" s="27" t="s">
        <v>103</v>
      </c>
      <c r="AK44" s="19" t="s">
        <v>88</v>
      </c>
      <c r="AL44" s="21" t="s">
        <v>99</v>
      </c>
      <c r="AM44" s="20"/>
      <c r="AN44" s="20"/>
      <c r="AO44" s="21" t="s">
        <v>99</v>
      </c>
      <c r="AP44" s="20"/>
      <c r="AQ44" s="20"/>
      <c r="AR44" s="16"/>
      <c r="AS44" s="20"/>
    </row>
    <row r="45" ht="15.75" customHeight="1">
      <c r="A45" s="28" t="s">
        <v>24</v>
      </c>
      <c r="B45" s="27" t="s">
        <v>101</v>
      </c>
      <c r="C45" s="19" t="s">
        <v>88</v>
      </c>
      <c r="D45" s="22" t="s">
        <v>13</v>
      </c>
      <c r="E45" s="21" t="s">
        <v>99</v>
      </c>
      <c r="F45" s="22" t="s">
        <v>13</v>
      </c>
      <c r="G45" s="22" t="s">
        <v>13</v>
      </c>
      <c r="H45" s="20"/>
      <c r="I45" s="20"/>
      <c r="J45" s="22" t="s">
        <v>13</v>
      </c>
      <c r="K45" s="22" t="s">
        <v>13</v>
      </c>
      <c r="L45" s="20"/>
      <c r="M45" s="22" t="s">
        <v>13</v>
      </c>
      <c r="N45" s="22" t="s">
        <v>13</v>
      </c>
      <c r="O45" s="20"/>
      <c r="P45" s="20"/>
      <c r="Q45" s="20"/>
      <c r="R45" s="20"/>
      <c r="S45" s="21" t="s">
        <v>99</v>
      </c>
      <c r="T45" s="27" t="s">
        <v>101</v>
      </c>
      <c r="U45" s="20"/>
      <c r="V45" s="27" t="s">
        <v>101</v>
      </c>
      <c r="W45" s="20"/>
      <c r="X45" s="20"/>
      <c r="Y45" s="22" t="s">
        <v>13</v>
      </c>
      <c r="Z45" s="20"/>
      <c r="AA45" s="20"/>
      <c r="AB45" s="20"/>
      <c r="AC45" s="22" t="s">
        <v>13</v>
      </c>
      <c r="AD45" s="22" t="s">
        <v>13</v>
      </c>
      <c r="AE45" s="20"/>
      <c r="AF45" s="20"/>
      <c r="AG45" s="20"/>
      <c r="AH45" s="27" t="s">
        <v>101</v>
      </c>
      <c r="AI45" s="27" t="s">
        <v>101</v>
      </c>
      <c r="AJ45" s="27" t="s">
        <v>103</v>
      </c>
      <c r="AK45" s="27" t="s">
        <v>103</v>
      </c>
      <c r="AL45" s="21" t="s">
        <v>99</v>
      </c>
      <c r="AM45" s="20"/>
      <c r="AN45" s="22" t="s">
        <v>13</v>
      </c>
      <c r="AO45" s="22" t="s">
        <v>13</v>
      </c>
      <c r="AP45" s="20"/>
      <c r="AQ45" s="20"/>
      <c r="AR45" s="20"/>
      <c r="AS45" s="16"/>
    </row>
    <row r="46" ht="15.75" customHeight="1"/>
    <row r="47" ht="15.75" customHeight="1">
      <c r="A47" s="17" t="s">
        <v>136</v>
      </c>
    </row>
    <row r="48" ht="15.75" customHeight="1">
      <c r="A48" s="17" t="s">
        <v>137</v>
      </c>
    </row>
    <row r="49" ht="15.75" customHeight="1"/>
    <row r="50" ht="15.75" customHeight="1"/>
    <row r="51" ht="15.75" customHeight="1"/>
    <row r="52" ht="15.75" customHeight="1"/>
    <row r="53" ht="15.75" customHeight="1"/>
    <row r="54" ht="15.75" customHeight="1">
      <c r="E54" s="2" t="s">
        <v>1</v>
      </c>
    </row>
    <row r="55" ht="15.75" customHeight="1">
      <c r="E55" s="38" t="s">
        <v>8</v>
      </c>
      <c r="F55" s="39"/>
      <c r="G55" s="38" t="s">
        <v>10</v>
      </c>
      <c r="H55" s="40"/>
      <c r="I55" s="40"/>
      <c r="J55" s="40"/>
      <c r="K55" s="40"/>
      <c r="L55" s="40"/>
      <c r="M55" s="40"/>
      <c r="N55" s="40"/>
      <c r="O55" s="40"/>
      <c r="P55" s="40"/>
      <c r="Q55" s="40"/>
      <c r="R55" s="40"/>
      <c r="S55" s="40"/>
      <c r="T55" s="40"/>
      <c r="U55" s="40"/>
      <c r="V55" s="40"/>
      <c r="W55" s="39"/>
    </row>
    <row r="56" ht="15.75" customHeight="1">
      <c r="E56" s="41" t="s">
        <v>13</v>
      </c>
      <c r="F56" s="39"/>
      <c r="G56" s="42" t="s">
        <v>28</v>
      </c>
      <c r="H56" s="40"/>
      <c r="I56" s="40"/>
      <c r="J56" s="40"/>
      <c r="K56" s="40"/>
      <c r="L56" s="40"/>
      <c r="M56" s="40"/>
      <c r="N56" s="40"/>
      <c r="O56" s="40"/>
      <c r="P56" s="40"/>
      <c r="Q56" s="40"/>
      <c r="R56" s="40"/>
      <c r="S56" s="40"/>
      <c r="T56" s="40"/>
      <c r="U56" s="40"/>
      <c r="V56" s="40"/>
      <c r="W56" s="39"/>
    </row>
    <row r="57" ht="15.75" customHeight="1">
      <c r="E57" s="43" t="s">
        <v>88</v>
      </c>
      <c r="F57" s="39"/>
      <c r="G57" s="42" t="s">
        <v>91</v>
      </c>
      <c r="H57" s="40"/>
      <c r="I57" s="40"/>
      <c r="J57" s="40"/>
      <c r="K57" s="40"/>
      <c r="L57" s="40"/>
      <c r="M57" s="40"/>
      <c r="N57" s="40"/>
      <c r="O57" s="40"/>
      <c r="P57" s="40"/>
      <c r="Q57" s="40"/>
      <c r="R57" s="40"/>
      <c r="S57" s="40"/>
      <c r="T57" s="40"/>
      <c r="U57" s="40"/>
      <c r="V57" s="40"/>
      <c r="W57" s="39"/>
    </row>
    <row r="58" ht="15.75" customHeight="1">
      <c r="E58" s="44" t="s">
        <v>97</v>
      </c>
      <c r="F58" s="39"/>
      <c r="G58" s="42" t="s">
        <v>98</v>
      </c>
      <c r="H58" s="40"/>
      <c r="I58" s="40"/>
      <c r="J58" s="40"/>
      <c r="K58" s="40"/>
      <c r="L58" s="40"/>
      <c r="M58" s="40"/>
      <c r="N58" s="40"/>
      <c r="O58" s="40"/>
      <c r="P58" s="40"/>
      <c r="Q58" s="40"/>
      <c r="R58" s="40"/>
      <c r="S58" s="40"/>
      <c r="T58" s="40"/>
      <c r="U58" s="40"/>
      <c r="V58" s="40"/>
      <c r="W58" s="39"/>
    </row>
    <row r="59" ht="15.75" customHeight="1">
      <c r="E59" s="45" t="s">
        <v>99</v>
      </c>
      <c r="F59" s="39"/>
      <c r="G59" s="42" t="s">
        <v>100</v>
      </c>
      <c r="H59" s="40"/>
      <c r="I59" s="40"/>
      <c r="J59" s="40"/>
      <c r="K59" s="40"/>
      <c r="L59" s="40"/>
      <c r="M59" s="40"/>
      <c r="N59" s="40"/>
      <c r="O59" s="40"/>
      <c r="P59" s="40"/>
      <c r="Q59" s="40"/>
      <c r="R59" s="40"/>
      <c r="S59" s="40"/>
      <c r="T59" s="40"/>
      <c r="U59" s="40"/>
      <c r="V59" s="40"/>
      <c r="W59" s="39"/>
    </row>
    <row r="60" ht="15.75" customHeight="1">
      <c r="E60" s="46" t="s">
        <v>101</v>
      </c>
      <c r="F60" s="39"/>
      <c r="G60" s="42" t="s">
        <v>102</v>
      </c>
      <c r="H60" s="40"/>
      <c r="I60" s="40"/>
      <c r="J60" s="40"/>
      <c r="K60" s="40"/>
      <c r="L60" s="40"/>
      <c r="M60" s="40"/>
      <c r="N60" s="40"/>
      <c r="O60" s="40"/>
      <c r="P60" s="40"/>
      <c r="Q60" s="40"/>
      <c r="R60" s="40"/>
      <c r="S60" s="40"/>
      <c r="T60" s="40"/>
      <c r="U60" s="40"/>
      <c r="V60" s="40"/>
      <c r="W60" s="39"/>
    </row>
    <row r="61" ht="15.75" customHeight="1">
      <c r="E61" s="46" t="s">
        <v>103</v>
      </c>
      <c r="F61" s="39"/>
      <c r="G61" s="42" t="s">
        <v>104</v>
      </c>
      <c r="H61" s="40"/>
      <c r="I61" s="40"/>
      <c r="J61" s="40"/>
      <c r="K61" s="40"/>
      <c r="L61" s="40"/>
      <c r="M61" s="40"/>
      <c r="N61" s="40"/>
      <c r="O61" s="40"/>
      <c r="P61" s="40"/>
      <c r="Q61" s="40"/>
      <c r="R61" s="40"/>
      <c r="S61" s="40"/>
      <c r="T61" s="40"/>
      <c r="U61" s="40"/>
      <c r="V61" s="40"/>
      <c r="W61" s="39"/>
    </row>
    <row r="62" ht="15.75" customHeight="1">
      <c r="E62" s="46" t="s">
        <v>105</v>
      </c>
      <c r="F62" s="39"/>
      <c r="G62" s="42" t="s">
        <v>106</v>
      </c>
      <c r="H62" s="40"/>
      <c r="I62" s="40"/>
      <c r="J62" s="40"/>
      <c r="K62" s="40"/>
      <c r="L62" s="40"/>
      <c r="M62" s="40"/>
      <c r="N62" s="40"/>
      <c r="O62" s="40"/>
      <c r="P62" s="40"/>
      <c r="Q62" s="40"/>
      <c r="R62" s="40"/>
      <c r="S62" s="40"/>
      <c r="T62" s="40"/>
      <c r="U62" s="40"/>
      <c r="V62" s="40"/>
      <c r="W62" s="39"/>
    </row>
    <row r="63" ht="15.75" customHeight="1">
      <c r="E63" s="47" t="s">
        <v>108</v>
      </c>
      <c r="F63" s="39"/>
      <c r="G63" s="42" t="s">
        <v>109</v>
      </c>
      <c r="H63" s="40"/>
      <c r="I63" s="40"/>
      <c r="J63" s="40"/>
      <c r="K63" s="40"/>
      <c r="L63" s="40"/>
      <c r="M63" s="40"/>
      <c r="N63" s="40"/>
      <c r="O63" s="40"/>
      <c r="P63" s="40"/>
      <c r="Q63" s="40"/>
      <c r="R63" s="40"/>
      <c r="S63" s="40"/>
      <c r="T63" s="40"/>
      <c r="U63" s="40"/>
      <c r="V63" s="40"/>
      <c r="W63" s="39"/>
    </row>
    <row r="64" ht="15.75" customHeight="1">
      <c r="E64" s="48"/>
      <c r="F64" s="39"/>
      <c r="G64" s="42" t="s">
        <v>110</v>
      </c>
      <c r="H64" s="40"/>
      <c r="I64" s="40"/>
      <c r="J64" s="40"/>
      <c r="K64" s="40"/>
      <c r="L64" s="40"/>
      <c r="M64" s="40"/>
      <c r="N64" s="40"/>
      <c r="O64" s="40"/>
      <c r="P64" s="40"/>
      <c r="Q64" s="40"/>
      <c r="R64" s="40"/>
      <c r="S64" s="40"/>
      <c r="T64" s="40"/>
      <c r="U64" s="40"/>
      <c r="V64" s="40"/>
      <c r="W64" s="39"/>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E60:F60"/>
    <mergeCell ref="E61:F61"/>
    <mergeCell ref="E62:F62"/>
    <mergeCell ref="E63:F63"/>
    <mergeCell ref="E64:F64"/>
    <mergeCell ref="G57:W57"/>
    <mergeCell ref="G58:W58"/>
    <mergeCell ref="G59:W59"/>
    <mergeCell ref="G60:W60"/>
    <mergeCell ref="G61:W61"/>
    <mergeCell ref="G62:W62"/>
    <mergeCell ref="G63:W63"/>
    <mergeCell ref="G64:W64"/>
    <mergeCell ref="E55:F55"/>
    <mergeCell ref="G55:W55"/>
    <mergeCell ref="G56:W56"/>
    <mergeCell ref="E56:F56"/>
    <mergeCell ref="E57:F57"/>
    <mergeCell ref="E58:F58"/>
    <mergeCell ref="E59:F59"/>
    <mergeCell ref="E54:J54"/>
  </mergeCell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70.0"/>
    <col customWidth="1" min="3" max="3" width="16.0"/>
    <col customWidth="1" min="4" max="26" width="8.71"/>
  </cols>
  <sheetData>
    <row r="1">
      <c r="A1" s="2" t="s">
        <v>1</v>
      </c>
    </row>
    <row r="3">
      <c r="A3" s="5" t="s">
        <v>8</v>
      </c>
      <c r="B3" s="5" t="s">
        <v>10</v>
      </c>
      <c r="C3" s="5" t="s">
        <v>11</v>
      </c>
    </row>
    <row r="4">
      <c r="A4" s="10" t="s">
        <v>13</v>
      </c>
      <c r="B4" s="11" t="s">
        <v>28</v>
      </c>
      <c r="C4" s="13">
        <f>COUNTIF('Matriz Y'!$B$2:$AS$45,"C")/2</f>
        <v>300</v>
      </c>
    </row>
    <row r="5">
      <c r="A5" s="15" t="s">
        <v>88</v>
      </c>
      <c r="B5" s="11" t="s">
        <v>91</v>
      </c>
      <c r="C5" s="13">
        <f>COUNTIF('Matriz Y'!$B$2:$AS$45,"C (G5)")/2</f>
        <v>64</v>
      </c>
    </row>
    <row r="6">
      <c r="A6" s="18" t="s">
        <v>97</v>
      </c>
      <c r="B6" s="11" t="s">
        <v>98</v>
      </c>
      <c r="C6" s="13">
        <f>COUNTIF('Matriz Y'!$B$2:$AS$45,"C (SF)")/2</f>
        <v>2</v>
      </c>
    </row>
    <row r="7">
      <c r="A7" s="23" t="s">
        <v>99</v>
      </c>
      <c r="B7" s="11" t="s">
        <v>100</v>
      </c>
      <c r="C7" s="13">
        <f>COUNTIF('Matriz Y'!$B$2:$AS$45,"I")/2</f>
        <v>80</v>
      </c>
    </row>
    <row r="8">
      <c r="A8" s="25" t="s">
        <v>101</v>
      </c>
      <c r="B8" s="11" t="s">
        <v>102</v>
      </c>
      <c r="C8" s="13">
        <f>COUNTIF('Matriz Y'!$B$2:$AS$45,"I/C")/2</f>
        <v>19</v>
      </c>
    </row>
    <row r="9">
      <c r="A9" s="25" t="s">
        <v>103</v>
      </c>
      <c r="B9" s="11" t="s">
        <v>104</v>
      </c>
      <c r="C9" s="13">
        <f>COUNTIF('Matriz Y'!$B$2:$AS$45,"I/C (G5)")/2</f>
        <v>8</v>
      </c>
    </row>
    <row r="10">
      <c r="A10" s="25" t="s">
        <v>105</v>
      </c>
      <c r="B10" s="11" t="s">
        <v>106</v>
      </c>
      <c r="C10" s="13">
        <f>COUNTIF('Matriz Y'!$B$2:$AS$45,"I/C (SF)")/2</f>
        <v>2</v>
      </c>
    </row>
    <row r="11">
      <c r="A11" s="30" t="s">
        <v>108</v>
      </c>
      <c r="B11" s="11" t="s">
        <v>109</v>
      </c>
      <c r="C11" s="13">
        <f>(COUNTBLANK('Matriz Y'!$B$2:$AS$45)-44)/2</f>
        <v>470</v>
      </c>
    </row>
    <row r="12">
      <c r="A12" s="31"/>
      <c r="B12" s="11" t="s">
        <v>110</v>
      </c>
    </row>
    <row r="13">
      <c r="B13" s="7" t="s">
        <v>111</v>
      </c>
      <c r="C13" s="32">
        <f>SUM(C4:C11)</f>
        <v>945</v>
      </c>
    </row>
    <row r="14">
      <c r="B14" s="33" t="s">
        <v>112</v>
      </c>
      <c r="C14" s="34">
        <f>SUM(C4:C6)</f>
        <v>366</v>
      </c>
    </row>
    <row r="15">
      <c r="B15" s="33" t="s">
        <v>113</v>
      </c>
      <c r="C15" s="34">
        <f>SUM(C8:C10)</f>
        <v>29</v>
      </c>
    </row>
    <row r="17" ht="42.0" customHeight="1">
      <c r="A17" s="35" t="s">
        <v>114</v>
      </c>
    </row>
    <row r="18" ht="42.0" customHeight="1">
      <c r="A18" s="35" t="s">
        <v>115</v>
      </c>
    </row>
    <row r="19" ht="42.0" customHeight="1">
      <c r="A19" s="35"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7:C17"/>
    <mergeCell ref="A18:C18"/>
    <mergeCell ref="A19:C1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4.0"/>
    <col customWidth="1" min="3" max="3" width="70.0"/>
    <col customWidth="1" min="4" max="26" width="8.71"/>
  </cols>
  <sheetData>
    <row r="1">
      <c r="A1" s="2" t="s">
        <v>3</v>
      </c>
    </row>
    <row r="2">
      <c r="A2" s="4" t="s">
        <v>4</v>
      </c>
    </row>
    <row r="4">
      <c r="A4" s="7" t="s">
        <v>0</v>
      </c>
      <c r="B4" s="14" t="s">
        <v>5</v>
      </c>
    </row>
    <row r="5">
      <c r="A5" s="7" t="s">
        <v>7</v>
      </c>
      <c r="B5" s="14" t="s">
        <v>14</v>
      </c>
    </row>
    <row r="7">
      <c r="A7" s="7" t="s">
        <v>92</v>
      </c>
      <c r="B7" s="26" t="str">
        <f t="array" ref="B7">IF($B$4=$B$5,"Mismo fármaco",IFERROR(IF(INDEX('Matriz Y'!$B$2:$AS$45,MATCH($B$4,'Matriz Y'!$A$2:$A$45,0),MATCH($B$5,'Matriz Y'!$A$2:$A$45,0))="","Sin datos",INDEX('Matriz Y'!$B$2:$AS$45,MATCH($B$4,'Matriz Y'!$A$2:$A$45,0),MATCH($B$5,'Matriz Y'!$A$2:$A$45,0))),"Revise los nombres"))</f>
        <v>Sin datos</v>
      </c>
    </row>
    <row r="8" ht="31.5" customHeight="1">
      <c r="A8" s="7" t="s">
        <v>10</v>
      </c>
      <c r="B8" s="29" t="str">
        <f>IF(B7="C","Compatible en Y",IF(B7="C (G5)","Compatible solo si ambos van en glucosado 5%",IF(B7="C (SF)","Compatible solo si ambos van en suero fisiológico 0,9%",IF(B7="I","INCOMPATIBLE: no administrar por la misma luz",IF(LEFT(B7,3)="I/C","Compatible solo en condiciones especiales: ver hoja Condiciones (tabla 2)",IF(B7="Sin datos","Sin datos publicados: no mezclar sin verificar con Farmacia",B7))))))</f>
        <v>Sin datos publicados: no mezclar sin verificar con Farmacia</v>
      </c>
    </row>
    <row r="10">
      <c r="A10" s="17"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8:C8"/>
  </mergeCells>
  <conditionalFormatting sqref="B7">
    <cfRule type="cellIs" dxfId="0" priority="1" operator="equal">
      <formula>"C"</formula>
    </cfRule>
  </conditionalFormatting>
  <conditionalFormatting sqref="B7">
    <cfRule type="cellIs" dxfId="1" priority="2" operator="equal">
      <formula>"C (G5)"</formula>
    </cfRule>
  </conditionalFormatting>
  <conditionalFormatting sqref="B7">
    <cfRule type="cellIs" dxfId="2" priority="3" operator="equal">
      <formula>"C (SF)"</formula>
    </cfRule>
  </conditionalFormatting>
  <conditionalFormatting sqref="B7">
    <cfRule type="cellIs" dxfId="3" priority="4" operator="equal">
      <formula>"I"</formula>
    </cfRule>
  </conditionalFormatting>
  <conditionalFormatting sqref="B7">
    <cfRule type="cellIs" dxfId="4" priority="5" operator="equal">
      <formula>"Sin datos"</formula>
    </cfRule>
  </conditionalFormatting>
  <conditionalFormatting sqref="B7">
    <cfRule type="expression" dxfId="5" priority="6">
      <formula>LEFT(B7,3)="I/C"</formula>
    </cfRule>
  </conditionalFormatting>
  <dataValidations>
    <dataValidation type="list" allowBlank="1" showInputMessage="1" showErrorMessage="1" prompt="Fármaco no válido - Elija un fármaco de la lista." sqref="B4:B5">
      <formula1>'Matriz Y'!$A$2:$A$45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8.0"/>
    <col customWidth="1" min="3" max="3" width="26.0"/>
    <col customWidth="1" min="4" max="4" width="18.0"/>
    <col customWidth="1" min="5" max="5" width="26.0"/>
    <col customWidth="1" min="6" max="26" width="8.71"/>
  </cols>
  <sheetData>
    <row r="1" ht="31.5" customHeight="1">
      <c r="A1" s="3" t="s">
        <v>0</v>
      </c>
      <c r="B1" s="3" t="s">
        <v>6</v>
      </c>
      <c r="C1" s="3" t="s">
        <v>7</v>
      </c>
      <c r="D1" s="3" t="s">
        <v>6</v>
      </c>
      <c r="E1" s="3" t="s">
        <v>9</v>
      </c>
    </row>
    <row r="2">
      <c r="A2" s="8" t="s">
        <v>5</v>
      </c>
      <c r="B2" s="8" t="s">
        <v>15</v>
      </c>
      <c r="C2" s="8" t="s">
        <v>16</v>
      </c>
      <c r="D2" s="8" t="s">
        <v>17</v>
      </c>
      <c r="E2" s="8" t="s">
        <v>19</v>
      </c>
    </row>
    <row r="3">
      <c r="A3" s="9" t="s">
        <v>5</v>
      </c>
      <c r="B3" s="9" t="s">
        <v>22</v>
      </c>
      <c r="C3" s="9" t="s">
        <v>24</v>
      </c>
      <c r="D3" s="9" t="s">
        <v>26</v>
      </c>
      <c r="E3" s="9" t="s">
        <v>19</v>
      </c>
    </row>
    <row r="4">
      <c r="A4" s="8" t="s">
        <v>12</v>
      </c>
      <c r="B4" s="8" t="s">
        <v>29</v>
      </c>
      <c r="C4" s="8" t="s">
        <v>30</v>
      </c>
      <c r="D4" s="8" t="s">
        <v>32</v>
      </c>
      <c r="E4" s="8" t="s">
        <v>33</v>
      </c>
    </row>
    <row r="5">
      <c r="A5" s="9" t="s">
        <v>12</v>
      </c>
      <c r="B5" s="9" t="s">
        <v>35</v>
      </c>
      <c r="C5" s="9" t="s">
        <v>36</v>
      </c>
      <c r="D5" s="9" t="s">
        <v>38</v>
      </c>
      <c r="E5" s="9" t="s">
        <v>33</v>
      </c>
    </row>
    <row r="6">
      <c r="A6" s="8" t="s">
        <v>12</v>
      </c>
      <c r="B6" s="8" t="s">
        <v>40</v>
      </c>
      <c r="C6" s="8" t="s">
        <v>42</v>
      </c>
      <c r="D6" s="8" t="s">
        <v>43</v>
      </c>
      <c r="E6" s="8" t="s">
        <v>33</v>
      </c>
    </row>
    <row r="7">
      <c r="A7" s="9" t="s">
        <v>20</v>
      </c>
      <c r="B7" s="9" t="s">
        <v>29</v>
      </c>
      <c r="C7" s="9" t="s">
        <v>37</v>
      </c>
      <c r="D7" s="9" t="s">
        <v>29</v>
      </c>
      <c r="E7" s="9" t="s">
        <v>19</v>
      </c>
    </row>
    <row r="8">
      <c r="A8" s="8" t="s">
        <v>21</v>
      </c>
      <c r="B8" s="8" t="s">
        <v>29</v>
      </c>
      <c r="C8" s="8" t="s">
        <v>37</v>
      </c>
      <c r="D8" s="8" t="s">
        <v>29</v>
      </c>
      <c r="E8" s="8" t="s">
        <v>47</v>
      </c>
    </row>
    <row r="9">
      <c r="A9" s="9" t="s">
        <v>23</v>
      </c>
      <c r="B9" s="9" t="s">
        <v>49</v>
      </c>
      <c r="C9" s="9" t="s">
        <v>37</v>
      </c>
      <c r="D9" s="9" t="s">
        <v>38</v>
      </c>
      <c r="E9" s="9" t="s">
        <v>19</v>
      </c>
    </row>
    <row r="10">
      <c r="A10" s="8" t="s">
        <v>23</v>
      </c>
      <c r="B10" s="8" t="s">
        <v>49</v>
      </c>
      <c r="C10" s="8" t="s">
        <v>39</v>
      </c>
      <c r="D10" s="8" t="s">
        <v>54</v>
      </c>
      <c r="E10" s="8" t="s">
        <v>19</v>
      </c>
    </row>
    <row r="11">
      <c r="A11" s="9" t="s">
        <v>23</v>
      </c>
      <c r="B11" s="9" t="s">
        <v>56</v>
      </c>
      <c r="C11" s="9" t="s">
        <v>51</v>
      </c>
      <c r="D11" s="9" t="s">
        <v>58</v>
      </c>
      <c r="E11" s="9" t="s">
        <v>19</v>
      </c>
    </row>
    <row r="12">
      <c r="A12" s="8" t="s">
        <v>37</v>
      </c>
      <c r="B12" s="8" t="s">
        <v>38</v>
      </c>
      <c r="C12" s="8" t="s">
        <v>46</v>
      </c>
      <c r="D12" s="8" t="s">
        <v>61</v>
      </c>
      <c r="E12" s="8" t="s">
        <v>47</v>
      </c>
    </row>
    <row r="13">
      <c r="A13" s="9" t="s">
        <v>37</v>
      </c>
      <c r="B13" s="9" t="s">
        <v>29</v>
      </c>
      <c r="C13" s="9" t="s">
        <v>53</v>
      </c>
      <c r="D13" s="9" t="s">
        <v>65</v>
      </c>
      <c r="E13" s="9" t="s">
        <v>19</v>
      </c>
    </row>
    <row r="14">
      <c r="A14" s="8" t="s">
        <v>37</v>
      </c>
      <c r="B14" s="8" t="s">
        <v>29</v>
      </c>
      <c r="C14" s="8" t="s">
        <v>68</v>
      </c>
      <c r="D14" s="8" t="s">
        <v>69</v>
      </c>
      <c r="E14" s="8" t="s">
        <v>19</v>
      </c>
    </row>
    <row r="15">
      <c r="A15" s="9" t="s">
        <v>39</v>
      </c>
      <c r="B15" s="9" t="s">
        <v>71</v>
      </c>
      <c r="C15" s="9" t="s">
        <v>59</v>
      </c>
      <c r="D15" s="9" t="s">
        <v>73</v>
      </c>
      <c r="E15" s="9" t="s">
        <v>33</v>
      </c>
    </row>
    <row r="16">
      <c r="A16" s="8" t="s">
        <v>44</v>
      </c>
      <c r="B16" s="8" t="s">
        <v>75</v>
      </c>
      <c r="C16" s="8" t="s">
        <v>76</v>
      </c>
      <c r="D16" s="8" t="s">
        <v>77</v>
      </c>
      <c r="E16" s="8" t="s">
        <v>19</v>
      </c>
    </row>
    <row r="17">
      <c r="A17" s="9" t="s">
        <v>46</v>
      </c>
      <c r="B17" s="9" t="s">
        <v>79</v>
      </c>
      <c r="C17" s="9" t="s">
        <v>24</v>
      </c>
      <c r="D17" s="9" t="s">
        <v>26</v>
      </c>
      <c r="E17" s="9" t="s">
        <v>19</v>
      </c>
    </row>
    <row r="18">
      <c r="A18" s="8" t="s">
        <v>50</v>
      </c>
      <c r="B18" s="8" t="s">
        <v>82</v>
      </c>
      <c r="C18" s="8" t="s">
        <v>53</v>
      </c>
      <c r="D18" s="8" t="s">
        <v>38</v>
      </c>
      <c r="E18" s="8" t="s">
        <v>19</v>
      </c>
    </row>
    <row r="19">
      <c r="A19" s="9" t="s">
        <v>50</v>
      </c>
      <c r="B19" s="9" t="s">
        <v>83</v>
      </c>
      <c r="C19" s="9" t="s">
        <v>68</v>
      </c>
      <c r="D19" s="9" t="s">
        <v>84</v>
      </c>
      <c r="E19" s="9" t="s">
        <v>19</v>
      </c>
    </row>
    <row r="20">
      <c r="A20" s="8" t="s">
        <v>50</v>
      </c>
      <c r="B20" s="8" t="s">
        <v>82</v>
      </c>
      <c r="C20" s="8" t="s">
        <v>81</v>
      </c>
      <c r="D20" s="8" t="s">
        <v>85</v>
      </c>
      <c r="E20" s="8" t="s">
        <v>33</v>
      </c>
    </row>
    <row r="21" ht="15.75" customHeight="1">
      <c r="A21" s="9" t="s">
        <v>50</v>
      </c>
      <c r="B21" s="9" t="s">
        <v>86</v>
      </c>
      <c r="C21" s="9" t="s">
        <v>24</v>
      </c>
      <c r="D21" s="9" t="s">
        <v>26</v>
      </c>
      <c r="E21" s="9" t="s">
        <v>19</v>
      </c>
    </row>
    <row r="22" ht="15.75" customHeight="1">
      <c r="A22" s="8" t="s">
        <v>55</v>
      </c>
      <c r="B22" s="8" t="s">
        <v>87</v>
      </c>
      <c r="C22" s="8" t="s">
        <v>68</v>
      </c>
      <c r="D22" s="8" t="s">
        <v>84</v>
      </c>
      <c r="E22" s="8" t="s">
        <v>19</v>
      </c>
    </row>
    <row r="23" ht="15.75" customHeight="1">
      <c r="A23" s="9" t="s">
        <v>67</v>
      </c>
      <c r="B23" s="9" t="s">
        <v>89</v>
      </c>
      <c r="C23" s="9" t="s">
        <v>24</v>
      </c>
      <c r="D23" s="9" t="s">
        <v>26</v>
      </c>
      <c r="E23" s="9" t="s">
        <v>19</v>
      </c>
    </row>
    <row r="24" ht="15.75" customHeight="1">
      <c r="A24" s="8" t="s">
        <v>70</v>
      </c>
      <c r="B24" s="8" t="s">
        <v>85</v>
      </c>
      <c r="C24" s="8" t="s">
        <v>24</v>
      </c>
      <c r="D24" s="8" t="s">
        <v>26</v>
      </c>
      <c r="E24" s="8" t="s">
        <v>19</v>
      </c>
    </row>
    <row r="25" ht="15.75" customHeight="1">
      <c r="A25" s="9" t="s">
        <v>42</v>
      </c>
      <c r="B25" s="9" t="s">
        <v>90</v>
      </c>
      <c r="C25" s="9" t="s">
        <v>81</v>
      </c>
      <c r="D25" s="9" t="s">
        <v>85</v>
      </c>
      <c r="E25" s="9" t="s">
        <v>33</v>
      </c>
    </row>
    <row r="26" ht="15.75" customHeight="1">
      <c r="A26" s="8" t="s">
        <v>42</v>
      </c>
      <c r="B26" s="8" t="s">
        <v>85</v>
      </c>
      <c r="C26" s="8" t="s">
        <v>24</v>
      </c>
      <c r="D26" s="8" t="s">
        <v>26</v>
      </c>
      <c r="E26" s="8" t="s">
        <v>33</v>
      </c>
    </row>
    <row r="27" ht="15.75" customHeight="1">
      <c r="A27" s="9" t="s">
        <v>72</v>
      </c>
      <c r="B27" s="9" t="s">
        <v>93</v>
      </c>
      <c r="C27" s="9" t="s">
        <v>24</v>
      </c>
      <c r="D27" s="9" t="s">
        <v>26</v>
      </c>
      <c r="E27" s="9" t="s">
        <v>33</v>
      </c>
    </row>
    <row r="28" ht="15.75" customHeight="1">
      <c r="A28" s="8" t="s">
        <v>74</v>
      </c>
      <c r="B28" s="8" t="s">
        <v>65</v>
      </c>
      <c r="C28" s="8" t="s">
        <v>31</v>
      </c>
      <c r="D28" s="8" t="s">
        <v>82</v>
      </c>
      <c r="E28" s="8" t="s">
        <v>19</v>
      </c>
    </row>
    <row r="29" ht="15.75" customHeight="1">
      <c r="A29" s="9" t="s">
        <v>74</v>
      </c>
      <c r="B29" s="9" t="s">
        <v>65</v>
      </c>
      <c r="C29" s="9" t="s">
        <v>76</v>
      </c>
      <c r="D29" s="9" t="s">
        <v>94</v>
      </c>
      <c r="E29" s="9" t="s">
        <v>19</v>
      </c>
    </row>
    <row r="30" ht="15.75" customHeight="1">
      <c r="A30" s="8" t="s">
        <v>68</v>
      </c>
      <c r="B30" s="8" t="s">
        <v>95</v>
      </c>
      <c r="C30" s="8" t="s">
        <v>76</v>
      </c>
      <c r="D30" s="8" t="s">
        <v>94</v>
      </c>
      <c r="E30" s="8" t="s">
        <v>19</v>
      </c>
    </row>
    <row r="31" ht="15.75" customHeight="1"/>
    <row r="32" ht="15.75" customHeight="1">
      <c r="A32" s="17" t="s">
        <v>96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40.0"/>
    <col customWidth="1" min="3" max="26" width="8.71"/>
  </cols>
  <sheetData>
    <row r="1">
      <c r="A1" s="5" t="s">
        <v>2</v>
      </c>
      <c r="B1" s="5" t="s">
        <v>117</v>
      </c>
    </row>
    <row r="2">
      <c r="A2" s="36" t="s">
        <v>5</v>
      </c>
      <c r="B2" s="36" t="s">
        <v>118</v>
      </c>
    </row>
    <row r="3">
      <c r="A3" s="9" t="s">
        <v>12</v>
      </c>
      <c r="B3" s="9" t="s">
        <v>119</v>
      </c>
    </row>
    <row r="4">
      <c r="A4" s="36" t="s">
        <v>14</v>
      </c>
      <c r="B4" s="36" t="s">
        <v>38</v>
      </c>
    </row>
    <row r="5">
      <c r="A5" s="9" t="s">
        <v>18</v>
      </c>
      <c r="B5" s="9" t="s">
        <v>120</v>
      </c>
    </row>
    <row r="6">
      <c r="A6" s="36" t="s">
        <v>20</v>
      </c>
      <c r="B6" s="36" t="s">
        <v>58</v>
      </c>
    </row>
    <row r="7">
      <c r="A7" s="9" t="s">
        <v>21</v>
      </c>
      <c r="B7" s="9" t="s">
        <v>58</v>
      </c>
    </row>
    <row r="8">
      <c r="A8" s="36" t="s">
        <v>23</v>
      </c>
      <c r="B8" s="36" t="s">
        <v>121</v>
      </c>
    </row>
    <row r="9">
      <c r="A9" s="9" t="s">
        <v>25</v>
      </c>
      <c r="B9" s="9" t="s">
        <v>73</v>
      </c>
    </row>
    <row r="10">
      <c r="A10" s="36" t="s">
        <v>27</v>
      </c>
      <c r="B10" s="36" t="s">
        <v>122</v>
      </c>
    </row>
    <row r="11">
      <c r="A11" s="9" t="s">
        <v>62</v>
      </c>
      <c r="B11" s="9" t="s">
        <v>38</v>
      </c>
    </row>
    <row r="12">
      <c r="A12" s="36" t="s">
        <v>31</v>
      </c>
      <c r="B12" s="36" t="s">
        <v>82</v>
      </c>
    </row>
    <row r="13">
      <c r="A13" s="9" t="s">
        <v>34</v>
      </c>
      <c r="B13" s="9" t="s">
        <v>38</v>
      </c>
    </row>
    <row r="14">
      <c r="A14" s="36" t="s">
        <v>37</v>
      </c>
      <c r="B14" s="36" t="s">
        <v>123</v>
      </c>
    </row>
    <row r="15">
      <c r="A15" s="9" t="s">
        <v>39</v>
      </c>
      <c r="B15" s="9" t="s">
        <v>123</v>
      </c>
    </row>
    <row r="16">
      <c r="A16" s="36" t="s">
        <v>41</v>
      </c>
      <c r="B16" s="36" t="s">
        <v>124</v>
      </c>
    </row>
    <row r="17">
      <c r="A17" s="9" t="s">
        <v>30</v>
      </c>
      <c r="B17" s="9" t="s">
        <v>90</v>
      </c>
    </row>
    <row r="18">
      <c r="A18" s="36" t="s">
        <v>44</v>
      </c>
      <c r="B18" s="36" t="s">
        <v>125</v>
      </c>
    </row>
    <row r="19">
      <c r="A19" s="9" t="s">
        <v>45</v>
      </c>
      <c r="B19" s="9" t="s">
        <v>118</v>
      </c>
    </row>
    <row r="20">
      <c r="A20" s="36" t="s">
        <v>36</v>
      </c>
      <c r="B20" s="36" t="s">
        <v>73</v>
      </c>
    </row>
    <row r="21" ht="15.75" customHeight="1">
      <c r="A21" s="9" t="s">
        <v>46</v>
      </c>
      <c r="B21" s="9" t="s">
        <v>61</v>
      </c>
    </row>
    <row r="22" ht="15.75" customHeight="1">
      <c r="A22" s="36" t="s">
        <v>48</v>
      </c>
      <c r="B22" s="36" t="s">
        <v>126</v>
      </c>
    </row>
    <row r="23" ht="15.75" customHeight="1">
      <c r="A23" s="9" t="s">
        <v>50</v>
      </c>
      <c r="B23" s="9" t="s">
        <v>82</v>
      </c>
    </row>
    <row r="24" ht="15.75" customHeight="1">
      <c r="A24" s="36" t="s">
        <v>51</v>
      </c>
      <c r="B24" s="36" t="s">
        <v>127</v>
      </c>
    </row>
    <row r="25" ht="15.75" customHeight="1">
      <c r="A25" s="9" t="s">
        <v>52</v>
      </c>
      <c r="B25" s="9" t="s">
        <v>73</v>
      </c>
    </row>
    <row r="26" ht="15.75" customHeight="1">
      <c r="A26" s="36" t="s">
        <v>53</v>
      </c>
      <c r="B26" s="36" t="s">
        <v>40</v>
      </c>
    </row>
    <row r="27" ht="15.75" customHeight="1">
      <c r="A27" s="9" t="s">
        <v>55</v>
      </c>
      <c r="B27" s="9" t="s">
        <v>128</v>
      </c>
    </row>
    <row r="28" ht="15.75" customHeight="1">
      <c r="A28" s="36" t="s">
        <v>57</v>
      </c>
      <c r="B28" s="36" t="s">
        <v>90</v>
      </c>
    </row>
    <row r="29" ht="15.75" customHeight="1">
      <c r="A29" s="9" t="s">
        <v>59</v>
      </c>
      <c r="B29" s="9" t="s">
        <v>29</v>
      </c>
    </row>
    <row r="30" ht="15.75" customHeight="1">
      <c r="A30" s="36" t="s">
        <v>60</v>
      </c>
      <c r="B30" s="36" t="s">
        <v>90</v>
      </c>
    </row>
    <row r="31" ht="15.75" customHeight="1">
      <c r="A31" s="9" t="s">
        <v>66</v>
      </c>
      <c r="B31" s="9" t="s">
        <v>127</v>
      </c>
    </row>
    <row r="32" ht="15.75" customHeight="1">
      <c r="A32" s="36" t="s">
        <v>67</v>
      </c>
      <c r="B32" s="36" t="s">
        <v>129</v>
      </c>
    </row>
    <row r="33" ht="15.75" customHeight="1">
      <c r="A33" s="9" t="s">
        <v>70</v>
      </c>
      <c r="B33" s="9" t="s">
        <v>90</v>
      </c>
    </row>
    <row r="34" ht="15.75" customHeight="1">
      <c r="A34" s="36" t="s">
        <v>42</v>
      </c>
      <c r="B34" s="36" t="s">
        <v>90</v>
      </c>
    </row>
    <row r="35" ht="15.75" customHeight="1">
      <c r="A35" s="9" t="s">
        <v>72</v>
      </c>
      <c r="B35" s="9" t="s">
        <v>124</v>
      </c>
    </row>
    <row r="36" ht="15.75" customHeight="1">
      <c r="A36" s="36" t="s">
        <v>16</v>
      </c>
      <c r="B36" s="36" t="s">
        <v>124</v>
      </c>
    </row>
    <row r="37" ht="15.75" customHeight="1">
      <c r="A37" s="9" t="s">
        <v>74</v>
      </c>
      <c r="B37" s="9" t="s">
        <v>130</v>
      </c>
    </row>
    <row r="38" ht="15.75" customHeight="1">
      <c r="A38" s="36" t="s">
        <v>68</v>
      </c>
      <c r="B38" s="36" t="s">
        <v>131</v>
      </c>
    </row>
    <row r="39" ht="15.75" customHeight="1">
      <c r="A39" s="9" t="s">
        <v>78</v>
      </c>
      <c r="B39" s="9" t="s">
        <v>58</v>
      </c>
    </row>
    <row r="40" ht="15.75" customHeight="1">
      <c r="A40" s="36" t="s">
        <v>76</v>
      </c>
      <c r="B40" s="36" t="s">
        <v>132</v>
      </c>
    </row>
    <row r="41" ht="15.75" customHeight="1">
      <c r="A41" s="9" t="s">
        <v>80</v>
      </c>
      <c r="B41" s="9" t="s">
        <v>133</v>
      </c>
    </row>
    <row r="42" ht="15.75" customHeight="1">
      <c r="A42" s="36" t="s">
        <v>81</v>
      </c>
      <c r="B42" s="36" t="s">
        <v>90</v>
      </c>
    </row>
    <row r="43" ht="15.75" customHeight="1">
      <c r="A43" s="9" t="s">
        <v>24</v>
      </c>
      <c r="B43" s="9" t="s">
        <v>85</v>
      </c>
    </row>
    <row r="44" ht="15.75" customHeight="1"/>
    <row r="45" ht="15.75" customHeight="1">
      <c r="A45" s="17" t="s">
        <v>134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